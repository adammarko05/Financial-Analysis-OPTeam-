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defaultThemeVersion="166925"/>
  <mc:AlternateContent xmlns:mc="http://schemas.openxmlformats.org/markup-compatibility/2006">
    <mc:Choice Requires="x15">
      <x15ac:absPath xmlns:x15ac="http://schemas.microsoft.com/office/spreadsheetml/2010/11/ac" url="https://aghedupl-my.sharepoint.com/personal/szylukasik_student_agh_edu_pl/Documents/"/>
    </mc:Choice>
  </mc:AlternateContent>
  <xr:revisionPtr revIDLastSave="0" documentId="8_{D64CCC22-2346-4CCD-9A01-B81127BA2546}" xr6:coauthVersionLast="47" xr6:coauthVersionMax="47" xr10:uidLastSave="{00000000-0000-0000-0000-000000000000}"/>
  <bookViews>
    <workbookView xWindow="0" yWindow="780" windowWidth="36000" windowHeight="22600" xr2:uid="{00000000-000D-0000-FFFF-FFFF00000000}"/>
  </bookViews>
  <sheets>
    <sheet name="strona tytułowa" sheetId="1" r:id="rId1"/>
    <sheet name="wprowadzenie" sheetId="2" r:id="rId2"/>
    <sheet name="RZIS &amp; CASHFLOW &amp; BILANS" sheetId="3" r:id="rId3"/>
    <sheet name="Analiza Wstepna" sheetId="6" r:id="rId4"/>
    <sheet name="analiza wskaźnikowa" sheetId="4" r:id="rId5"/>
    <sheet name="wnioski" sheetId="5" r:id="rId6"/>
    <sheet name="Ocena"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7" l="1"/>
  <c r="H3" i="4"/>
  <c r="G3" i="4"/>
  <c r="H4" i="4"/>
  <c r="G4" i="4"/>
  <c r="G15" i="4"/>
  <c r="H15" i="4"/>
  <c r="F15" i="4"/>
  <c r="G14" i="4"/>
  <c r="H14" i="4"/>
  <c r="F14" i="4"/>
  <c r="H13" i="4"/>
  <c r="G13" i="4"/>
  <c r="H12" i="4"/>
  <c r="G12" i="4"/>
  <c r="F5" i="4"/>
  <c r="F6" i="4"/>
  <c r="F7" i="4"/>
  <c r="F8" i="4"/>
  <c r="F9" i="4"/>
  <c r="F10" i="4"/>
  <c r="F16" i="4"/>
  <c r="L34" i="6"/>
  <c r="K34" i="6"/>
  <c r="J34" i="6"/>
  <c r="L33" i="6"/>
  <c r="K33" i="6"/>
  <c r="J33" i="6"/>
  <c r="G11" i="4"/>
  <c r="H11" i="4"/>
  <c r="G16" i="4"/>
  <c r="H16" i="4"/>
  <c r="G10" i="4"/>
  <c r="H10" i="4"/>
  <c r="G9" i="4"/>
  <c r="H9" i="4"/>
  <c r="G8" i="4"/>
  <c r="H8" i="4"/>
  <c r="G7" i="4"/>
  <c r="H7" i="4"/>
  <c r="G6" i="4"/>
  <c r="H6" i="4"/>
  <c r="G5" i="4"/>
  <c r="H5" i="4"/>
  <c r="F5" i="3"/>
  <c r="H16" i="6"/>
  <c r="J21" i="6"/>
  <c r="J18" i="6"/>
  <c r="J19" i="6"/>
  <c r="J20" i="6"/>
  <c r="I18" i="6"/>
  <c r="I19" i="6"/>
  <c r="I20" i="6"/>
  <c r="I21" i="6"/>
  <c r="F18" i="6"/>
  <c r="H18" i="6" s="1"/>
  <c r="F19" i="6"/>
  <c r="H19" i="6" s="1"/>
  <c r="F20" i="6"/>
  <c r="H20" i="6" s="1"/>
  <c r="F21" i="6"/>
  <c r="H21" i="6" s="1"/>
  <c r="E18" i="6"/>
  <c r="G18" i="6" s="1"/>
  <c r="E19" i="6"/>
  <c r="G19" i="6" s="1"/>
  <c r="E20" i="6"/>
  <c r="G20" i="6" s="1"/>
  <c r="E21" i="6"/>
  <c r="G21" i="6" s="1"/>
  <c r="J11" i="6"/>
  <c r="J12" i="6"/>
  <c r="J13" i="6"/>
  <c r="J14" i="6"/>
  <c r="J15" i="6"/>
  <c r="J16" i="6"/>
  <c r="I11" i="6"/>
  <c r="I12" i="6"/>
  <c r="I13" i="6"/>
  <c r="I14" i="6"/>
  <c r="I15" i="6"/>
  <c r="I16" i="6"/>
  <c r="F11" i="6"/>
  <c r="H11" i="6" s="1"/>
  <c r="F12" i="6"/>
  <c r="H12" i="6" s="1"/>
  <c r="F13" i="6"/>
  <c r="H13" i="6" s="1"/>
  <c r="F14" i="6"/>
  <c r="H14" i="6" s="1"/>
  <c r="F15" i="6"/>
  <c r="H15" i="6" s="1"/>
  <c r="F16" i="6"/>
  <c r="E11" i="6"/>
  <c r="G11" i="6" s="1"/>
  <c r="E12" i="6"/>
  <c r="G12" i="6" s="1"/>
  <c r="E13" i="6"/>
  <c r="G13" i="6" s="1"/>
  <c r="E14" i="6"/>
  <c r="G14" i="6" s="1"/>
  <c r="E15" i="6"/>
  <c r="G15" i="6" s="1"/>
  <c r="E16" i="6"/>
  <c r="G16" i="6" s="1"/>
  <c r="J9" i="6"/>
  <c r="J4" i="6"/>
  <c r="J5" i="6"/>
  <c r="J6" i="6"/>
  <c r="J7" i="6"/>
  <c r="J8" i="6"/>
  <c r="I4" i="6"/>
  <c r="I5" i="6"/>
  <c r="I6" i="6"/>
  <c r="I7" i="6"/>
  <c r="I8" i="6"/>
  <c r="I9" i="6"/>
  <c r="J3" i="6"/>
  <c r="I3" i="6"/>
  <c r="E4" i="6"/>
  <c r="G4" i="6" s="1"/>
  <c r="E5" i="6"/>
  <c r="G5" i="6" s="1"/>
  <c r="E6" i="6"/>
  <c r="G6" i="6" s="1"/>
  <c r="E7" i="6"/>
  <c r="G7" i="6" s="1"/>
  <c r="E8" i="6"/>
  <c r="G8" i="6" s="1"/>
  <c r="E9" i="6"/>
  <c r="G9" i="6" s="1"/>
  <c r="E3" i="6"/>
  <c r="G3" i="6" s="1"/>
  <c r="F4" i="6"/>
  <c r="H4" i="6" s="1"/>
  <c r="F5" i="6"/>
  <c r="H5" i="6" s="1"/>
  <c r="F6" i="6"/>
  <c r="H6" i="6" s="1"/>
  <c r="F7" i="6"/>
  <c r="H7" i="6" s="1"/>
  <c r="F8" i="6"/>
  <c r="H8" i="6" s="1"/>
  <c r="F9" i="6"/>
  <c r="H9" i="6" s="1"/>
  <c r="F3" i="6"/>
  <c r="H3" i="6" s="1"/>
  <c r="G103" i="6"/>
  <c r="G104" i="6"/>
  <c r="G105" i="6"/>
  <c r="G106" i="6"/>
  <c r="G107" i="6"/>
  <c r="G108" i="6"/>
  <c r="G109" i="6"/>
  <c r="G110" i="6"/>
  <c r="G111" i="6"/>
  <c r="G112" i="6"/>
  <c r="G113" i="6"/>
  <c r="G114" i="6"/>
  <c r="G115" i="6"/>
  <c r="G116" i="6"/>
  <c r="G117" i="6"/>
  <c r="G118" i="6"/>
  <c r="G119" i="6"/>
  <c r="G120" i="6"/>
  <c r="G121" i="6"/>
  <c r="G122" i="6"/>
  <c r="G123" i="6"/>
  <c r="G102" i="6"/>
  <c r="F103" i="6"/>
  <c r="F104" i="6"/>
  <c r="F105" i="6"/>
  <c r="F106" i="6"/>
  <c r="F107" i="6"/>
  <c r="F108" i="6"/>
  <c r="F109" i="6"/>
  <c r="F110" i="6"/>
  <c r="F111" i="6"/>
  <c r="F112" i="6"/>
  <c r="F113" i="6"/>
  <c r="F114" i="6"/>
  <c r="F115" i="6"/>
  <c r="F116" i="6"/>
  <c r="F117" i="6"/>
  <c r="F118" i="6"/>
  <c r="F119" i="6"/>
  <c r="F120" i="6"/>
  <c r="F121" i="6"/>
  <c r="F122" i="6"/>
  <c r="F123" i="6"/>
  <c r="F102" i="6"/>
  <c r="E103" i="6"/>
  <c r="E104" i="6"/>
  <c r="E105" i="6"/>
  <c r="E106" i="6"/>
  <c r="E107" i="6"/>
  <c r="E108" i="6"/>
  <c r="E109" i="6"/>
  <c r="E110" i="6"/>
  <c r="E111" i="6"/>
  <c r="E112" i="6"/>
  <c r="E113" i="6"/>
  <c r="E114" i="6"/>
  <c r="E115" i="6"/>
  <c r="E116" i="6"/>
  <c r="E117" i="6"/>
  <c r="E118" i="6"/>
  <c r="E119" i="6"/>
  <c r="E120" i="6"/>
  <c r="E121" i="6"/>
  <c r="E122" i="6"/>
  <c r="E123" i="6"/>
  <c r="E102" i="6"/>
  <c r="G67" i="6"/>
  <c r="G69" i="6"/>
  <c r="G70" i="6"/>
  <c r="G72" i="6"/>
  <c r="G74" i="6"/>
  <c r="G78" i="6"/>
  <c r="G79" i="6"/>
  <c r="G80" i="6"/>
  <c r="G81" i="6"/>
  <c r="G82" i="6"/>
  <c r="G84" i="6"/>
  <c r="G85" i="6"/>
  <c r="G86" i="6"/>
  <c r="G88" i="6"/>
  <c r="G89" i="6"/>
  <c r="G90" i="6"/>
  <c r="G91" i="6"/>
  <c r="G66" i="6"/>
  <c r="F67" i="6"/>
  <c r="F69" i="6"/>
  <c r="F70" i="6"/>
  <c r="F72" i="6"/>
  <c r="F74" i="6"/>
  <c r="F79" i="6"/>
  <c r="F80" i="6"/>
  <c r="F81" i="6"/>
  <c r="F82" i="6"/>
  <c r="F85" i="6"/>
  <c r="F86" i="6"/>
  <c r="F88" i="6"/>
  <c r="F89" i="6"/>
  <c r="F90" i="6"/>
  <c r="F91" i="6"/>
  <c r="F66" i="6"/>
  <c r="E67" i="6"/>
  <c r="E69" i="6"/>
  <c r="E70" i="6"/>
  <c r="E72" i="6"/>
  <c r="E74" i="6"/>
  <c r="E76" i="6"/>
  <c r="E79" i="6"/>
  <c r="E80" i="6"/>
  <c r="E81" i="6"/>
  <c r="E82" i="6"/>
  <c r="E83" i="6"/>
  <c r="E84" i="6"/>
  <c r="E85" i="6"/>
  <c r="E86" i="6"/>
  <c r="E88" i="6"/>
  <c r="E89" i="6"/>
  <c r="E90" i="6"/>
  <c r="E91" i="6"/>
  <c r="E66" i="6"/>
  <c r="E33" i="6"/>
  <c r="F33" i="6"/>
  <c r="G33" i="6"/>
  <c r="E34" i="6"/>
  <c r="F34" i="6"/>
  <c r="G34" i="6"/>
  <c r="E35" i="6"/>
  <c r="F35" i="6"/>
  <c r="G35" i="6"/>
  <c r="E36" i="6"/>
  <c r="F36" i="6"/>
  <c r="G36" i="6"/>
  <c r="E38" i="6"/>
  <c r="F38" i="6"/>
  <c r="G38" i="6"/>
  <c r="E39" i="6"/>
  <c r="F39" i="6"/>
  <c r="G39" i="6"/>
  <c r="E40" i="6"/>
  <c r="F40" i="6"/>
  <c r="G40" i="6"/>
  <c r="E41" i="6"/>
  <c r="F41" i="6"/>
  <c r="G41" i="6"/>
  <c r="E43" i="6"/>
  <c r="F43" i="6"/>
  <c r="G43" i="6"/>
  <c r="E44" i="6"/>
  <c r="F44" i="6"/>
  <c r="G44" i="6"/>
  <c r="E45" i="6"/>
  <c r="F45" i="6"/>
  <c r="G45" i="6"/>
  <c r="E46" i="6"/>
  <c r="F46" i="6"/>
  <c r="G46" i="6"/>
  <c r="E47" i="6"/>
  <c r="F47" i="6"/>
  <c r="G47" i="6"/>
  <c r="E49" i="6"/>
  <c r="F49" i="6"/>
  <c r="G49" i="6"/>
  <c r="E50" i="6"/>
  <c r="F50" i="6"/>
  <c r="E51" i="6"/>
  <c r="F51" i="6"/>
  <c r="G51" i="6"/>
  <c r="E52" i="6"/>
  <c r="F52" i="6"/>
  <c r="G52" i="6"/>
  <c r="E54" i="6"/>
  <c r="F54" i="6"/>
  <c r="G54"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1FC989E-C76A-4F91-8FED-08FF1F5ADAEC}" keepAlive="1" name="Query - Table007 (Page 6)" description="Connection to the 'Table007 (Page 6)' query in the workbook." type="5" refreshedVersion="0" background="1">
    <dbPr connection="Provider=Microsoft.Mashup.OleDb.1;Data Source=$Workbook$;Location=Table007 (Page 6);Extended Properties=&quot;&quot;" command="SELECT * FROM [Table007 (Page 6)]"/>
  </connection>
  <connection id="2" xr16:uid="{59E62CDD-A1FB-47CE-AB5F-AF956EC80380}" keepAlive="1" name="Query - Table008 (Page 6)" description="Connection to the 'Table008 (Page 6)' query in the workbook." type="5" refreshedVersion="0" background="1">
    <dbPr connection="Provider=Microsoft.Mashup.OleDb.1;Data Source=$Workbook$;Location=Table008 (Page 6);Extended Properties=&quot;&quot;" command="SELECT * FROM [Table008 (Page 6)]"/>
  </connection>
  <connection id="3" xr16:uid="{109F6E3E-3F7E-4765-9D07-76237ACBB63B}" keepAlive="1" name="Query - Table009 (Page 6)" description="Connection to the 'Table009 (Page 6)' query in the workbook." type="5" refreshedVersion="0" background="1">
    <dbPr connection="Provider=Microsoft.Mashup.OleDb.1;Data Source=$Workbook$;Location=Table009 (Page 6);Extended Properties=&quot;&quot;" command="SELECT * FROM [Table009 (Page 6)]"/>
  </connection>
  <connection id="4" xr16:uid="{A6B87E18-BE60-46EC-8A5C-FC2A2F1687ED}" keepAlive="1" name="Query - Table010 (Page 6)" description="Connection to the 'Table010 (Page 6)' query in the workbook." type="5" refreshedVersion="0" background="1">
    <dbPr connection="Provider=Microsoft.Mashup.OleDb.1;Data Source=$Workbook$;Location=Table010 (Page 6);Extended Properties=&quot;&quot;" command="SELECT * FROM [Table010 (Page 6)]"/>
  </connection>
  <connection id="5" xr16:uid="{9138DFEB-F21C-4DDB-A917-84F40FB2FAE3}" keepAlive="1" name="Query - Table011 (Page 6)" description="Connection to the 'Table011 (Page 6)' query in the workbook." type="5" refreshedVersion="0" background="1">
    <dbPr connection="Provider=Microsoft.Mashup.OleDb.1;Data Source=$Workbook$;Location=Table011 (Page 6);Extended Properties=&quot;&quot;" command="SELECT * FROM [Table011 (Page 6)]"/>
  </connection>
  <connection id="6" xr16:uid="{97A22EDA-41F7-483F-B6B3-EF6E8A434BEE}" keepAlive="1" name="Query - Table012 (Page 6)" description="Connection to the 'Table012 (Page 6)' query in the workbook." type="5" refreshedVersion="0" background="1">
    <dbPr connection="Provider=Microsoft.Mashup.OleDb.1;Data Source=$Workbook$;Location=Table012 (Page 6);Extended Properties=&quot;&quot;" command="SELECT * FROM [Table012 (Page 6)]"/>
  </connection>
  <connection id="7" xr16:uid="{3DAD6B02-30D1-444C-9806-67D5675A4AD5}" keepAlive="1" name="Query - Table013 (Page 6)" description="Connection to the 'Table013 (Page 6)' query in the workbook." type="5" refreshedVersion="0" background="1">
    <dbPr connection="Provider=Microsoft.Mashup.OleDb.1;Data Source=$Workbook$;Location=Table013 (Page 6);Extended Properties=&quot;&quot;" command="SELECT * FROM [Table013 (Page 6)]"/>
  </connection>
  <connection id="8" xr16:uid="{4A4CBF01-624F-4307-BEB8-C6084B026CE4}" keepAlive="1" name="Query - Table014 (Page 6)" description="Connection to the 'Table014 (Page 6)' query in the workbook." type="5" refreshedVersion="0" background="1">
    <dbPr connection="Provider=Microsoft.Mashup.OleDb.1;Data Source=$Workbook$;Location=Table014 (Page 6);Extended Properties=&quot;&quot;" command="SELECT * FROM [Table014 (Page 6)]"/>
  </connection>
  <connection id="9" xr16:uid="{1D3730D5-418E-4814-8CC4-1FE7E96ECD99}" keepAlive="1" name="Query - Table015 (Page 7)" description="Connection to the 'Table015 (Page 7)' query in the workbook." type="5" refreshedVersion="0" background="1">
    <dbPr connection="Provider=Microsoft.Mashup.OleDb.1;Data Source=$Workbook$;Location=Table015 (Page 7);Extended Properties=&quot;&quot;" command="SELECT * FROM [Table015 (Page 7)]"/>
  </connection>
</connections>
</file>

<file path=xl/sharedStrings.xml><?xml version="1.0" encoding="utf-8"?>
<sst xmlns="http://schemas.openxmlformats.org/spreadsheetml/2006/main" count="480" uniqueCount="247">
  <si>
    <t>Analiza sprawozdań finansowych spółki OPTeam S.A. za lata 2022, 2023, 2024</t>
  </si>
  <si>
    <t>Szymon Łukasik</t>
  </si>
  <si>
    <t>Adam Marko</t>
  </si>
  <si>
    <t>OPTeam S.A. to firma ulokowana w Tajęcinie koło Rzeszowa. Jest lokalnym graczem w sektorze IT pod obecną nazwą od 2003 roku. Na GPW widnieje od roku 2010. Firma specjalizuje się we wdrażaniu nowoczesnych rozwiązań informatycznych tj. płatności, systemy ERP dla sektora publicznego, przedsiębiorstw oraz uczelni wyższych.</t>
  </si>
  <si>
    <t xml:space="preserve">AKTYWA </t>
  </si>
  <si>
    <t>Stan na 31.12.2022</t>
  </si>
  <si>
    <t>Stan na 31.12.2023</t>
  </si>
  <si>
    <t>Stan na 31.12.2024</t>
  </si>
  <si>
    <t>Stan na 31.12.2021 r.</t>
  </si>
  <si>
    <t xml:space="preserve">A. Aktywa trwałe </t>
  </si>
  <si>
    <t xml:space="preserve">1. Wartość firmy  </t>
  </si>
  <si>
    <t xml:space="preserve">2. Inne wartości niematerialne </t>
  </si>
  <si>
    <t xml:space="preserve">3. Rzeczowe aktywa trwałe </t>
  </si>
  <si>
    <t xml:space="preserve">4. Nieruchomości inwestycyjne </t>
  </si>
  <si>
    <t xml:space="preserve">                      -       </t>
  </si>
  <si>
    <t>-</t>
  </si>
  <si>
    <t>—</t>
  </si>
  <si>
    <t xml:space="preserve">5. Należności długoterminowe </t>
  </si>
  <si>
    <t xml:space="preserve">6. Inwestycje w jednostkach  podporządkowanych </t>
  </si>
  <si>
    <t xml:space="preserve">7. Aktywa finansowe </t>
  </si>
  <si>
    <t xml:space="preserve">8. Aktywa z tytułu podatku odroczonego </t>
  </si>
  <si>
    <t xml:space="preserve">9. Inne rozliczenia międzyokresowe </t>
  </si>
  <si>
    <t xml:space="preserve">B. Aktywa obrotowe </t>
  </si>
  <si>
    <t xml:space="preserve">1. Zapasy </t>
  </si>
  <si>
    <t xml:space="preserve">2. Należności z tytułu dostaw i usług </t>
  </si>
  <si>
    <t xml:space="preserve">3. Aktywa z tytułu umów z klientami </t>
  </si>
  <si>
    <t xml:space="preserve">4. Należności pozostałe </t>
  </si>
  <si>
    <t xml:space="preserve">5. Należności z tytułu podatku dochodowego od osób prawnych </t>
  </si>
  <si>
    <t xml:space="preserve">6. Należności z tytułu pozostałych podatków, dotacji, ceł, ubezpieczeń </t>
  </si>
  <si>
    <t xml:space="preserve">8. Środki pieniężne i ich ekwiwalenty </t>
  </si>
  <si>
    <t xml:space="preserve">9. Rozliczenia międzyokresowe </t>
  </si>
  <si>
    <t xml:space="preserve">C. Aktywa przeznaczone do zbycia </t>
  </si>
  <si>
    <t xml:space="preserve">RAZEM AKTYWA </t>
  </si>
  <si>
    <t>PASYWA</t>
  </si>
  <si>
    <t>A. Kapitał własny</t>
  </si>
  <si>
    <r>
      <t xml:space="preserve">1. Kapitał </t>
    </r>
    <r>
      <rPr>
        <sz val="11"/>
        <color rgb="FF000000"/>
        <rFont val="Ffd"/>
        <charset val="1"/>
      </rPr>
      <t>akcyjny</t>
    </r>
  </si>
  <si>
    <t>2. Akcje własne (wielkość ujemna)</t>
  </si>
  <si>
    <t>3. Kapitał zapasowy</t>
  </si>
  <si>
    <t>4. Kapitał rezerwowy</t>
  </si>
  <si>
    <t>5. Zysk (strata) z lat ubiegłych</t>
  </si>
  <si>
    <t>6. Zyski (strata) netto</t>
  </si>
  <si>
    <r>
      <t xml:space="preserve">7. Odpisy z zysku netto w ciągu roku </t>
    </r>
    <r>
      <rPr>
        <sz val="11"/>
        <color rgb="FF000000"/>
        <rFont val="Ffd"/>
        <charset val="1"/>
      </rPr>
      <t>obrotowego</t>
    </r>
  </si>
  <si>
    <t>B. Zobowiązania długoterminowe</t>
  </si>
  <si>
    <t>1. Kredyty bankowe</t>
  </si>
  <si>
    <t>2. Zobowiązania finansowe</t>
  </si>
  <si>
    <t>3. Zobowiązania z tytułu dostaw i usług</t>
  </si>
  <si>
    <t>4. Zobowiązania pozostałe</t>
  </si>
  <si>
    <t>5. Rezerwa z tytułu podatku odroczonego</t>
  </si>
  <si>
    <t>6. Rezerwy na inne zobowiązania</t>
  </si>
  <si>
    <t>7. Rozliczenia międzyokresowe</t>
  </si>
  <si>
    <t>C. Zobowiązania krótkoterminowe</t>
  </si>
  <si>
    <t>4. Zobowiązania z tytułu umów z klientami</t>
  </si>
  <si>
    <r>
      <t xml:space="preserve">5. Zobowiązania z tytułu podatku dochodowego od osób </t>
    </r>
    <r>
      <rPr>
        <sz val="11"/>
        <color rgb="FF000000"/>
        <rFont val="Ffd"/>
        <charset val="1"/>
      </rPr>
      <t>prawnych</t>
    </r>
  </si>
  <si>
    <t>6. Zobowiązania budżetowe i pozostałe zobowiązania</t>
  </si>
  <si>
    <t>7. Rezerwy na zobowiązania</t>
  </si>
  <si>
    <t>8. Rozliczenia międzyokresowe</t>
  </si>
  <si>
    <t>RAZEM PASYWA</t>
  </si>
  <si>
    <r>
      <t xml:space="preserve">Sprawozdanie zysków i strat </t>
    </r>
    <r>
      <rPr>
        <b/>
        <sz val="11"/>
        <color rgb="FF000000"/>
        <rFont val="Ff11"/>
        <charset val="1"/>
      </rPr>
      <t>- wariant kalkulacyjny</t>
    </r>
  </si>
  <si>
    <t>A. Działalność kontynuowana</t>
  </si>
  <si>
    <t>I. Przychody ze sprzedaży produktów, towarów i materiałów, w tym:</t>
  </si>
  <si>
    <t>1. Przychody ze sprzedaży produktów i usług</t>
  </si>
  <si>
    <t>2. Przychody ze sprzedaży towarów i materiałów</t>
  </si>
  <si>
    <t>II. Koszty sprzedanych produktów, towarów i materiałów, w tym:</t>
  </si>
  <si>
    <t>1. Koszt wytworzenia sprzedanych produktów i usług</t>
  </si>
  <si>
    <t>2. Wartość sprzedanych towarów i materiałów</t>
  </si>
  <si>
    <t>III. Zysk (strata) brutto ze sprzedaży</t>
  </si>
  <si>
    <t>1. Koszty sprzedaży</t>
  </si>
  <si>
    <t>2. Koszty ogólnego zarządu</t>
  </si>
  <si>
    <t>IV. Zysk (strata) ze sprzedaży</t>
  </si>
  <si>
    <t>1. Pozostałe przychody operacyjne</t>
  </si>
  <si>
    <t>2. Pozostałe koszty operacyjne</t>
  </si>
  <si>
    <t>V. Zysk (strata) z działalności operacyjnej</t>
  </si>
  <si>
    <t>1. Przychody finansowe</t>
  </si>
  <si>
    <t>2. Koszty finansowe</t>
  </si>
  <si>
    <t>3. Udział w wyniku netto jednostki stowarzyszonej wycenianej metodą praw</t>
  </si>
  <si>
    <t>VI. Zysk (strata) brutto - przed opodatkowaniem</t>
  </si>
  <si>
    <t>1. Podatek dochodowy</t>
  </si>
  <si>
    <t>VII. Zysk (strata) netto z działalności kontynuowanej</t>
  </si>
  <si>
    <t>B. Działalność zaniechana</t>
  </si>
  <si>
    <t>I. Zysk (strata) netto z działalności zaniechanej</t>
  </si>
  <si>
    <t>C. Zysk (strata) netto za rok obrotowy</t>
  </si>
  <si>
    <t>Sprawozdanie z przepływów pieniężnych</t>
  </si>
  <si>
    <t>A. PRZEPŁYWY ŚRODKÓW PIENIĘŻNYCH Z DZIAŁALNOŚCI OPERACYJNEJ</t>
  </si>
  <si>
    <t>I. Zysk (strata) brutto przed opodatkowaniem</t>
  </si>
  <si>
    <t>II. Korekty razem</t>
  </si>
  <si>
    <t>1. Amortyzacja</t>
  </si>
  <si>
    <t>2. Zyski (straty) z tytułu różnic kursowych</t>
  </si>
  <si>
    <t>3. Odsetki i udziały w zyskach (dywidendy)</t>
  </si>
  <si>
    <t>4. Zysk (strata) z działalności inwestycyjnej</t>
  </si>
  <si>
    <t>5. Zmiana stanu rezerw</t>
  </si>
  <si>
    <t>6. Zmiana stanu zapasów</t>
  </si>
  <si>
    <t>7. Zmiana stanu należności</t>
  </si>
  <si>
    <t>8. Zmiana stanu zobowiązań krótkoterminowych bez pożyczek i kredytów</t>
  </si>
  <si>
    <t>9. Zmiana stanu rozliczeń międzyokresowych</t>
  </si>
  <si>
    <t>10. Inne korekty</t>
  </si>
  <si>
    <t>11. Zapłacony podatek dochodowy</t>
  </si>
  <si>
    <t>III. Przepływy pieniężne netto z działalności operacyjnej (I+/-II)</t>
  </si>
  <si>
    <t>B. PRZEPŁYWY ŚRODKÓW PIENIĘŻNYCH Z DZIAŁALNOŚCI INWESTYCYJNEJ</t>
  </si>
  <si>
    <t>I. Wpływy</t>
  </si>
  <si>
    <t>1. Zbycie wartości niematerialnych oraz rzeczowych aktywów trwałych</t>
  </si>
  <si>
    <t>2. Zbycie inwestycji w nieruchomości oraz wartości niematerialne</t>
  </si>
  <si>
    <t>3. Zbycie aktywów finansowych</t>
  </si>
  <si>
    <t>4. Inne wpływy inwestycyjne</t>
  </si>
  <si>
    <t>II. Wydatki</t>
  </si>
  <si>
    <t>1. Nabycie wartości niematerialnych oraz rzeczowych aktywów trwałych</t>
  </si>
  <si>
    <t>2. Inwestycje w nieruchomości oraz wartości niematerialne</t>
  </si>
  <si>
    <t>3. Na aktywa finansowe</t>
  </si>
  <si>
    <t>4. Inne wydatki inwestycyjne</t>
  </si>
  <si>
    <t>III. Przepływy pieniężne netto z działalności inwestycyjnej (I-II)</t>
  </si>
  <si>
    <t>C. PRZEPŁYWY ŚRODKÓW PIENIĘŻNYCH Z DZIAŁALNOŚCI FINANSOWEJ</t>
  </si>
  <si>
    <t>1. Wpływy netto z emisji akcji/udziałów</t>
  </si>
  <si>
    <t>2. Kredyty i pożyczki</t>
  </si>
  <si>
    <t>3. Emisja dłużnych papierów wartościowych</t>
  </si>
  <si>
    <t>4. Inne wpływy finansowe (odsetki od lokat, dotacje, granty)</t>
  </si>
  <si>
    <t>1. Nabycie udziałów (akcji) własnych</t>
  </si>
  <si>
    <t>2. Dywidendy i inne wypłaty na rzecz właścicieli</t>
  </si>
  <si>
    <t>3. Inne wydatki z tytułu podziału zysku</t>
  </si>
  <si>
    <t>4. Spłaty kredytów i pożyczek</t>
  </si>
  <si>
    <t>5. Wykup dłużnych papierów wartościowych</t>
  </si>
  <si>
    <t>6. Z tytułu innych zobowiązań finansowych</t>
  </si>
  <si>
    <t>7. Płatności zobowiązań z tytułu umów leasingu finansowego</t>
  </si>
  <si>
    <t>8. Odsetki</t>
  </si>
  <si>
    <t>9. Inne wydatki finansowe</t>
  </si>
  <si>
    <t>III. Przepływy pieniężne netto z działalności finansowej (I-II)</t>
  </si>
  <si>
    <t>D. PRZEPŁYWY PIENIĘŻNE NETTO RAZEM (A.III +/- B.III +/- C.III)</t>
  </si>
  <si>
    <t>E. BILANSOWA ZMIANA STANU ŚRODKÓW PIENIĘŻNYCH, W TYM</t>
  </si>
  <si>
    <t>- zmiana stanu środków pieniężnych z tytułu różnic kursowych</t>
  </si>
  <si>
    <t>F. ŚRODKI PIENIĘŻNE NA POCZĄTEK OKRESU</t>
  </si>
  <si>
    <t>G. ŚRODKI PIENIĘŻNE NA KONIEC OKRESU (F +/- D)</t>
  </si>
  <si>
    <t xml:space="preserve">Analiza Pozioma </t>
  </si>
  <si>
    <t>ELEMENTY BILANSU</t>
  </si>
  <si>
    <t>ZMIANA BEZW. 22-23</t>
  </si>
  <si>
    <t>ZMIANA BEZW. 23-24</t>
  </si>
  <si>
    <t>TEMPO ZMIAN 2022-23</t>
  </si>
  <si>
    <t>TEAMPO ZMIAN 2023-24</t>
  </si>
  <si>
    <t>WSKAŹ. DYNAMIKI 22-23</t>
  </si>
  <si>
    <t>WSKAŹ DYNAMIKI 23-24</t>
  </si>
  <si>
    <t>ELEMENTY RZIS</t>
  </si>
  <si>
    <t>ELEMENTY CASH FLOW</t>
  </si>
  <si>
    <t>Analiza Pionowa</t>
  </si>
  <si>
    <t>ANALIZA POZIOMO - PIONOWA</t>
  </si>
  <si>
    <t>Pozycja</t>
  </si>
  <si>
    <t>stan 2022</t>
  </si>
  <si>
    <t>stan 2023</t>
  </si>
  <si>
    <t>stan 2024</t>
  </si>
  <si>
    <t>Udział % w aktywach 2022</t>
  </si>
  <si>
    <t>Udział % w aktywach 2023</t>
  </si>
  <si>
    <t>Udział % w aktywach 2024</t>
  </si>
  <si>
    <t>REGUŁA</t>
  </si>
  <si>
    <t>Złota Reguła Bilansowa</t>
  </si>
  <si>
    <t>Srebrna Reguła Bilansowa</t>
  </si>
  <si>
    <t>WSTEPNA ANALIZA PP.</t>
  </si>
  <si>
    <t xml:space="preserve">ROK </t>
  </si>
  <si>
    <t>Działalność OP</t>
  </si>
  <si>
    <t>INW</t>
  </si>
  <si>
    <t>FIN</t>
  </si>
  <si>
    <t>+</t>
  </si>
  <si>
    <t xml:space="preserve">Wnioski: </t>
  </si>
  <si>
    <t>1. Udział aktywów trwałych spadł w 2023 a nastepnie wzrósł w 2024</t>
  </si>
  <si>
    <t>2.Firma pozbyła się inwestycji w jednostki podporządkowane w 2024</t>
  </si>
  <si>
    <t>3. Rzeczowe aktywa trwałe osiągnęły wzrost o 6 p.p. w 2024</t>
  </si>
  <si>
    <t>4. Firma z roku na rok pozbywała się aktywów finansowych.</t>
  </si>
  <si>
    <t>Udział % w pasywach 2022</t>
  </si>
  <si>
    <t>Udział % w pasywach 2023</t>
  </si>
  <si>
    <t>Udział % w pasywach 2024</t>
  </si>
  <si>
    <t xml:space="preserve">
-</t>
  </si>
  <si>
    <t>1. Kapitał własny spółki utrzymywał się na podobnym poziomie w 2022 i 2023, a w 2024 spadł o 8 p.p.</t>
  </si>
  <si>
    <t>2. Firma nie posiada kredytów</t>
  </si>
  <si>
    <t>3. Firma posiada rosnące zobowiązania długoterminowe i krótkoterminowe</t>
  </si>
  <si>
    <t>4. Głównym źródłem finansowania spółki jest kapitał własny.</t>
  </si>
  <si>
    <t>Udział % zysków i strat 2022</t>
  </si>
  <si>
    <t>Udział % zysków i strat 2023</t>
  </si>
  <si>
    <t>Udział % zysków i strat 2024</t>
  </si>
  <si>
    <t>1. W 2024 roku nastapił gwałtowny spadek przychodów</t>
  </si>
  <si>
    <t>2. Udział kosztów sprzedanych produktów stale rosnie w latach 22-24</t>
  </si>
  <si>
    <t>Typ wskaźnika</t>
  </si>
  <si>
    <t>Nazwa wskaźnika</t>
  </si>
  <si>
    <t>Wzór</t>
  </si>
  <si>
    <t>Mediana sektora 2023 (dział 62)</t>
  </si>
  <si>
    <t>OPTeam 2022</t>
  </si>
  <si>
    <t>OPTeam 2023</t>
  </si>
  <si>
    <t>OPTeam 2024</t>
  </si>
  <si>
    <t>Wniosek</t>
  </si>
  <si>
    <t>Wskaźniki rentowności</t>
  </si>
  <si>
    <t>Rentowność operacyjna aktywów</t>
  </si>
  <si>
    <t>wynik z działalności operacyjnej * 100/średnioroczny stan aktywów ogółem</t>
  </si>
  <si>
    <t>Destrukcja kapitału własnego i brak atrakcyjności dla inwestorów na tle sektora (mediana 20,06%).</t>
  </si>
  <si>
    <t>Rentowność kapitału własnego</t>
  </si>
  <si>
    <t>wynik netto * 100/średnioroczny stan kapitału własnego</t>
  </si>
  <si>
    <t>Skrajna nieefektywność majątku, który zamiast zysków generuje straty operacyjne.</t>
  </si>
  <si>
    <t>Rentowność netto</t>
  </si>
  <si>
    <t>wynik netto * 100/przychody ogółem</t>
  </si>
  <si>
    <t>Każda złotówka przychodu powiększa stratę netto, co wskazuje na całkowitą nierentowność sprzedaży</t>
  </si>
  <si>
    <t>Rentowność sprzedaży</t>
  </si>
  <si>
    <t>wynik ze sprzedaży * 100/przychody netto ze sprzedaży produktów towarów i materiałów</t>
  </si>
  <si>
    <t>Koszty operacyjne drastycznie przewyższają marże generowane na usługach IT.</t>
  </si>
  <si>
    <t>Rentowność ekonomiczna sprzedaży</t>
  </si>
  <si>
    <t>(wynik z działalności operacyjnej + amortyzacja) * 100/(przychody ze sprzedaży produktów, towarów i materiałów + pozostałe przychody operacyjne)</t>
  </si>
  <si>
    <t>Wskaźniki płynności finansowej</t>
  </si>
  <si>
    <t>Płynność bieżąca (wcześniej: płynność finansowa I stopnia)</t>
  </si>
  <si>
    <t>aktywa obrotowe ogółem (bez należności z tytułu dostaw i usług o okresie spłaty powyżej 12 mies.)/zobowiązania krótkoterminowe(bez zobowiązaniń z tytułu dostaw i usług o okresie wymagalności powyżej 12 mies)</t>
  </si>
  <si>
    <t>Silny spadek marginesu bezpieczeństwa i utrata dystansu do średniej branżowej</t>
  </si>
  <si>
    <t>Płynność szybka (wcześniej płynność finansowa II stopnia)</t>
  </si>
  <si>
    <t>aktywa obrotowe ogółem (bez należności z tytułu dostaw i usług o okresie spłaty powyżej 12 mies.) - zapasy - krótkoterminowe rozliczenia międzyokresowe/zobowiązania krótkoterminowe(bez zobowiązaniń z tytułu dostaw i usług o okresie wymagalności powyżej 12 mies)</t>
  </si>
  <si>
    <t>Gwałtowny trend spadkowy r/r sygnalizuje realne ryzyko problemów płatniczych.</t>
  </si>
  <si>
    <t>Płynność gotówkowa (wcześniej: płynność finansowa III stopnia)</t>
  </si>
  <si>
    <t>inwestycje krótkoterminowe/zobowiązania krótkoterminowe(bez zobowiązań z tytułu dostaw i usług o okresie wymagalności powyżej 12 mies)</t>
  </si>
  <si>
    <t>Firma może spłacić natychmiast mniej niż połowę pilnych długów.</t>
  </si>
  <si>
    <t>Wskaźniki sprawności działania</t>
  </si>
  <si>
    <t>Spływ należności</t>
  </si>
  <si>
    <t>średnioroczny stan ogółu należności z tytułu dostaw i usług * 365/przychody ze sprzedaży produktów, towarów i materiałów</t>
  </si>
  <si>
    <t>Skrajna nieefektywność windykacji; pieniądze są zamrożone u klientów o 25 dni dłużej niż u konkurencji.</t>
  </si>
  <si>
    <t>Spłata zobowiązań</t>
  </si>
  <si>
    <t>średnioroczny stan ogółu zobowiązań z tytułu dostaw i usług * 365/przychody ze sprzedaży produktów, towarów i materiałów</t>
  </si>
  <si>
    <t>Wymuszone kredytowanie się kosztem dostawców w celu łatania luki w płynności.</t>
  </si>
  <si>
    <t>Szybkość obrotu zapasów</t>
  </si>
  <si>
    <t>średnioroczny stan zapasów * 365/przychody ze sprzedaży produktów, towarów i materiałów</t>
  </si>
  <si>
    <t>Efektywność zarządzania zapasami pozostaje na dobrym poziomie</t>
  </si>
  <si>
    <t>Wskaźniki zadłużenia</t>
  </si>
  <si>
    <t>Pokrycie aktywów trwałych kapitałem własnym i rezerwami długoterminowymi</t>
  </si>
  <si>
    <t>kapitał własny + rezerwy długoterminowe/aktywa trwałe + należności z tytułu dostaw i usług o okresie spłaty powyżej 12 mies.</t>
  </si>
  <si>
    <t>Majątek trwały jest w pełni finansowany bezpiecznym kapitałem stałym, jednak wynik jest znacznie niższy od mediany sektora</t>
  </si>
  <si>
    <t>Trwałość struktury finansowania</t>
  </si>
  <si>
    <t>kapitał własny + rezerwy długoterminowe + zobowiązania długoterminowe(łącznie z zobowiązaniami z tytułu dostaw i usług powyżej 12 mies)/aktywa ogółem</t>
  </si>
  <si>
    <t>Kapitał stały nie zapewnia już wystarczającego oparcia dla majątku firmy.</t>
  </si>
  <si>
    <t>Ogólne zadłużenie</t>
  </si>
  <si>
    <t>zobowiązania i rezerwy na zobowiązania*100/aktywa ogółem</t>
  </si>
  <si>
    <t>Udział długu w majątku jest o ponad 10 pkt proc. wyższy niż mediana sektora.</t>
  </si>
  <si>
    <t>Kryterium oceny</t>
  </si>
  <si>
    <t>Opis</t>
  </si>
  <si>
    <t>Punkty (1-5)</t>
  </si>
  <si>
    <t>Komentarz</t>
  </si>
  <si>
    <t>Wskaźniki</t>
  </si>
  <si>
    <t>Poprawne formuły i ustalone wartości</t>
  </si>
  <si>
    <t>Poprawnie wyliczone wskaźniki (&gt;10)</t>
  </si>
  <si>
    <t>Wnioski cząstkowe</t>
  </si>
  <si>
    <t>Poprawna interpretacja wyników, porównanie branżowe</t>
  </si>
  <si>
    <t xml:space="preserve">Krótkie lecz na temat, aczkolwiek czasem bezpodstawne </t>
  </si>
  <si>
    <t>Wizualizacje</t>
  </si>
  <si>
    <t>Czytelność i jakość merytoryczna wykresów, tabel, rysunków</t>
  </si>
  <si>
    <t>Czytelne i estetyczne tabele i wykresy</t>
  </si>
  <si>
    <t>Wnioski końcowe i rekomendacje</t>
  </si>
  <si>
    <t xml:space="preserve">Wskazanie problemu i praktyczne sugestie </t>
  </si>
  <si>
    <t>Dobre wnioskowanie jedank brak rekomendacji</t>
  </si>
  <si>
    <t xml:space="preserve">Ocena końcowa </t>
  </si>
  <si>
    <t>Suma uzyskanych punktów</t>
  </si>
  <si>
    <t>Ocena :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</si>
</sst>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b/>
      <sz val="11"/>
      <color theme="1"/>
      <name val="Calibri"/>
      <family val="2"/>
      <scheme val="minor"/>
    </font>
    <font>
      <sz val="11"/>
      <color rgb="FF000000"/>
      <name val="Ffd"/>
      <charset val="1"/>
    </font>
    <font>
      <sz val="11"/>
      <color rgb="FF000000"/>
      <name val="Ff11"/>
      <charset val="1"/>
    </font>
    <font>
      <sz val="11"/>
      <color rgb="FF000000"/>
      <name val="Ff13"/>
      <charset val="1"/>
    </font>
    <font>
      <sz val="11"/>
      <color rgb="FF000000"/>
      <name val="Ff12"/>
      <charset val="1"/>
    </font>
    <font>
      <b/>
      <sz val="11"/>
      <color rgb="FF000000"/>
      <name val="Ff11"/>
      <charset val="1"/>
    </font>
    <font>
      <sz val="11"/>
      <color rgb="FF000000"/>
      <name val="Ff15"/>
      <charset val="1"/>
    </font>
    <font>
      <b/>
      <sz val="28"/>
      <color rgb="FF000000"/>
      <name val="Calibri"/>
      <family val="2"/>
    </font>
    <font>
      <sz val="28"/>
      <color rgb="FF000000"/>
      <name val="Calibri"/>
      <family val="2"/>
      <scheme val="minor"/>
    </font>
    <font>
      <b/>
      <sz val="11"/>
      <color rgb="FF000000"/>
      <name val="Calibri"/>
      <family val="2"/>
      <scheme val="minor"/>
    </font>
    <font>
      <b/>
      <sz val="20"/>
      <color rgb="FF000000"/>
      <name val="Calibri"/>
      <family val="2"/>
      <scheme val="minor"/>
    </font>
    <font>
      <sz val="20"/>
      <color theme="1"/>
      <name val="Calibri"/>
      <family val="2"/>
      <scheme val="minor"/>
    </font>
    <font>
      <b/>
      <sz val="11"/>
      <color rgb="FF000000"/>
      <name val="Calibri"/>
      <family val="2"/>
    </font>
    <font>
      <b/>
      <sz val="28"/>
      <color theme="1"/>
      <name val="Calibri"/>
      <family val="2"/>
      <scheme val="minor"/>
    </font>
    <font>
      <b/>
      <sz val="20"/>
      <color theme="1"/>
      <name val="Calibri"/>
      <family val="2"/>
      <scheme val="minor"/>
    </font>
    <font>
      <sz val="11"/>
      <color rgb="FF000000"/>
      <name val="Calibri"/>
      <family val="2"/>
      <scheme val="minor"/>
    </font>
    <font>
      <b/>
      <sz val="11"/>
      <color theme="1"/>
      <name val="Times New Roman"/>
      <family val="1"/>
      <charset val="238"/>
    </font>
    <font>
      <sz val="11"/>
      <color theme="1"/>
      <name val="Times New Roman"/>
      <family val="1"/>
      <charset val="238"/>
    </font>
  </fonts>
  <fills count="11">
    <fill>
      <patternFill patternType="none"/>
    </fill>
    <fill>
      <patternFill patternType="gray125"/>
    </fill>
    <fill>
      <patternFill patternType="solid">
        <fgColor theme="0"/>
        <bgColor indexed="64"/>
      </patternFill>
    </fill>
    <fill>
      <patternFill patternType="solid">
        <fgColor theme="2" tint="-0.249977111117893"/>
        <bgColor indexed="64"/>
      </patternFill>
    </fill>
    <fill>
      <patternFill patternType="solid">
        <fgColor theme="2"/>
        <bgColor indexed="64"/>
      </patternFill>
    </fill>
    <fill>
      <patternFill patternType="solid">
        <fgColor theme="0" tint="-0.3499862666707357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theme="3" tint="0.79998168889431442"/>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right/>
      <top style="thin">
        <color rgb="FF000000"/>
      </top>
      <bottom style="thin">
        <color rgb="FF000000"/>
      </bottom>
      <diagonal/>
    </border>
    <border>
      <left/>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1">
    <xf numFmtId="0" fontId="0" fillId="0" borderId="0" xfId="0"/>
    <xf numFmtId="4" fontId="0" fillId="0" borderId="0" xfId="0" applyNumberFormat="1"/>
    <xf numFmtId="0" fontId="3" fillId="0" borderId="0" xfId="0" applyFont="1"/>
    <xf numFmtId="0" fontId="4" fillId="0" borderId="0" xfId="0" applyFont="1"/>
    <xf numFmtId="4" fontId="3" fillId="0" borderId="0" xfId="0" applyNumberFormat="1" applyFont="1"/>
    <xf numFmtId="0" fontId="5" fillId="0" borderId="0" xfId="0" applyFont="1"/>
    <xf numFmtId="4" fontId="2" fillId="0" borderId="0" xfId="0" applyNumberFormat="1" applyFont="1"/>
    <xf numFmtId="0" fontId="2" fillId="0" borderId="0" xfId="0" quotePrefix="1" applyFont="1"/>
    <xf numFmtId="0" fontId="2" fillId="0" borderId="0" xfId="0" applyFont="1"/>
    <xf numFmtId="4" fontId="0" fillId="0" borderId="1" xfId="0" applyNumberFormat="1" applyBorder="1" applyAlignment="1">
      <alignment horizont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7" fillId="0" borderId="0" xfId="0" applyFont="1"/>
    <xf numFmtId="3" fontId="2" fillId="0" borderId="0" xfId="0" applyNumberFormat="1" applyFont="1"/>
    <xf numFmtId="4" fontId="0" fillId="0" borderId="1" xfId="0" applyNumberFormat="1" applyBorder="1" applyAlignment="1">
      <alignment horizontal="center" vertical="center"/>
    </xf>
    <xf numFmtId="0" fontId="0" fillId="2" borderId="0" xfId="0" applyFill="1" applyAlignment="1">
      <alignment horizontal="center"/>
    </xf>
    <xf numFmtId="4" fontId="0" fillId="2" borderId="0" xfId="0" applyNumberFormat="1" applyFill="1" applyAlignment="1">
      <alignment horizontal="center"/>
    </xf>
    <xf numFmtId="0" fontId="1" fillId="3" borderId="1" xfId="0" applyFont="1" applyFill="1" applyBorder="1" applyAlignment="1">
      <alignment horizontal="center" vertical="center"/>
    </xf>
    <xf numFmtId="4" fontId="1" fillId="3" borderId="1" xfId="0" applyNumberFormat="1" applyFont="1" applyFill="1" applyBorder="1" applyAlignment="1">
      <alignment horizontal="center" vertical="center"/>
    </xf>
    <xf numFmtId="4" fontId="1" fillId="0" borderId="1" xfId="0" applyNumberFormat="1" applyFont="1" applyBorder="1" applyAlignment="1">
      <alignment horizontal="center" vertical="center"/>
    </xf>
    <xf numFmtId="4" fontId="0" fillId="0" borderId="5" xfId="0" applyNumberFormat="1" applyBorder="1" applyAlignment="1">
      <alignment horizontal="center" vertical="center"/>
    </xf>
    <xf numFmtId="0" fontId="0" fillId="0" borderId="2" xfId="0" applyBorder="1" applyAlignment="1">
      <alignment horizontal="center" vertical="center"/>
    </xf>
    <xf numFmtId="0" fontId="1" fillId="0" borderId="3" xfId="0" applyFont="1" applyBorder="1" applyAlignment="1">
      <alignment horizontal="center" vertical="center"/>
    </xf>
    <xf numFmtId="10" fontId="0" fillId="0" borderId="0" xfId="0" applyNumberFormat="1"/>
    <xf numFmtId="4" fontId="1" fillId="3" borderId="4" xfId="0" applyNumberFormat="1" applyFont="1" applyFill="1" applyBorder="1" applyAlignment="1">
      <alignment horizontal="center" vertical="center"/>
    </xf>
    <xf numFmtId="4" fontId="0" fillId="0" borderId="4" xfId="0" applyNumberFormat="1" applyBorder="1" applyAlignment="1">
      <alignment horizontal="center" vertical="center"/>
    </xf>
    <xf numFmtId="4" fontId="1" fillId="0" borderId="4" xfId="0" applyNumberFormat="1" applyFont="1" applyBorder="1" applyAlignment="1">
      <alignment horizontal="center" vertical="center"/>
    </xf>
    <xf numFmtId="0" fontId="1" fillId="3" borderId="3" xfId="0" applyFont="1" applyFill="1" applyBorder="1" applyAlignment="1">
      <alignment horizontal="center" vertical="center"/>
    </xf>
    <xf numFmtId="0" fontId="10" fillId="0" borderId="0" xfId="0" applyFont="1"/>
    <xf numFmtId="0" fontId="1" fillId="4" borderId="1" xfId="0" applyFont="1" applyFill="1" applyBorder="1" applyAlignment="1">
      <alignment horizontal="center" vertical="center"/>
    </xf>
    <xf numFmtId="10" fontId="0" fillId="4" borderId="1" xfId="0" applyNumberFormat="1" applyFill="1" applyBorder="1" applyAlignment="1">
      <alignment horizontal="center" vertical="center"/>
    </xf>
    <xf numFmtId="10" fontId="0" fillId="4" borderId="1" xfId="0" applyNumberFormat="1" applyFill="1" applyBorder="1" applyAlignment="1">
      <alignment horizontal="center" vertical="center" wrapText="1"/>
    </xf>
    <xf numFmtId="10" fontId="0" fillId="4" borderId="4" xfId="0" applyNumberFormat="1" applyFill="1" applyBorder="1" applyAlignment="1">
      <alignment horizontal="center"/>
    </xf>
    <xf numFmtId="0" fontId="1" fillId="0" borderId="0" xfId="0" applyFont="1"/>
    <xf numFmtId="10" fontId="0" fillId="4" borderId="1" xfId="0" applyNumberFormat="1" applyFill="1" applyBorder="1"/>
    <xf numFmtId="0" fontId="1" fillId="0" borderId="1" xfId="0" applyFont="1" applyBorder="1"/>
    <xf numFmtId="0" fontId="1" fillId="4" borderId="8" xfId="0" applyFont="1" applyFill="1" applyBorder="1" applyAlignment="1">
      <alignment horizontal="center"/>
    </xf>
    <xf numFmtId="4" fontId="1" fillId="3" borderId="3" xfId="0" applyNumberFormat="1" applyFont="1" applyFill="1" applyBorder="1" applyAlignment="1">
      <alignment horizontal="center" vertical="center"/>
    </xf>
    <xf numFmtId="4" fontId="1" fillId="3" borderId="7" xfId="0" applyNumberFormat="1" applyFont="1" applyFill="1" applyBorder="1" applyAlignment="1">
      <alignment horizontal="center" vertical="center"/>
    </xf>
    <xf numFmtId="2" fontId="0" fillId="0" borderId="1" xfId="0" applyNumberFormat="1" applyBorder="1" applyAlignment="1">
      <alignment horizontal="center" vertical="center"/>
    </xf>
    <xf numFmtId="0" fontId="0" fillId="2" borderId="1" xfId="0" applyFill="1" applyBorder="1" applyAlignment="1">
      <alignment horizontal="center"/>
    </xf>
    <xf numFmtId="4" fontId="0" fillId="2" borderId="1" xfId="0" applyNumberFormat="1" applyFill="1" applyBorder="1" applyAlignment="1">
      <alignment horizontal="center"/>
    </xf>
    <xf numFmtId="4" fontId="0" fillId="2" borderId="1" xfId="0" applyNumberFormat="1" applyFill="1" applyBorder="1" applyAlignment="1">
      <alignment horizontal="center" vertical="center"/>
    </xf>
    <xf numFmtId="0" fontId="0" fillId="2" borderId="1" xfId="0" applyFill="1" applyBorder="1" applyAlignment="1">
      <alignment horizontal="center" vertical="center"/>
    </xf>
    <xf numFmtId="9" fontId="0" fillId="0" borderId="1" xfId="0" applyNumberFormat="1" applyBorder="1" applyAlignment="1">
      <alignment horizontal="center"/>
    </xf>
    <xf numFmtId="0" fontId="1" fillId="5" borderId="1" xfId="0" applyFont="1" applyFill="1" applyBorder="1" applyAlignment="1">
      <alignment horizontal="center"/>
    </xf>
    <xf numFmtId="0" fontId="0" fillId="6" borderId="4" xfId="0" applyFill="1" applyBorder="1" applyAlignment="1">
      <alignment horizontal="center" vertical="center" wrapText="1"/>
    </xf>
    <xf numFmtId="0" fontId="0" fillId="6" borderId="1" xfId="0" applyFill="1" applyBorder="1" applyAlignment="1">
      <alignment horizontal="center" vertical="center" wrapText="1"/>
    </xf>
    <xf numFmtId="0" fontId="0" fillId="6" borderId="4" xfId="0" applyFill="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xf>
    <xf numFmtId="0" fontId="16" fillId="10" borderId="1" xfId="0" applyFont="1" applyFill="1" applyBorder="1"/>
    <xf numFmtId="0" fontId="17" fillId="0" borderId="15" xfId="0" applyFont="1" applyBorder="1"/>
    <xf numFmtId="0" fontId="18" fillId="0" borderId="15" xfId="0" applyFont="1" applyBorder="1" applyAlignment="1">
      <alignment wrapText="1"/>
    </xf>
    <xf numFmtId="16" fontId="18" fillId="0" borderId="15" xfId="0" applyNumberFormat="1" applyFont="1" applyBorder="1" applyAlignment="1">
      <alignment wrapText="1"/>
    </xf>
    <xf numFmtId="0" fontId="8" fillId="0" borderId="0" xfId="0" applyFont="1" applyAlignment="1">
      <alignment horizontal="center" vertical="center"/>
    </xf>
    <xf numFmtId="0" fontId="0" fillId="0" borderId="0" xfId="0" applyAlignment="1">
      <alignment horizontal="center" vertical="center"/>
    </xf>
    <xf numFmtId="2" fontId="9" fillId="0" borderId="1" xfId="0" applyNumberFormat="1" applyFont="1" applyBorder="1" applyAlignment="1">
      <alignment horizontal="center" vertical="center"/>
    </xf>
    <xf numFmtId="2" fontId="0" fillId="0" borderId="1" xfId="0" applyNumberFormat="1" applyBorder="1" applyAlignment="1">
      <alignment horizontal="center" vertical="center"/>
    </xf>
    <xf numFmtId="2" fontId="0" fillId="0" borderId="4" xfId="0" applyNumberFormat="1" applyBorder="1" applyAlignment="1">
      <alignment horizontal="center" vertical="center"/>
    </xf>
    <xf numFmtId="0" fontId="9" fillId="0" borderId="1" xfId="0" applyFont="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wrapText="1"/>
    </xf>
    <xf numFmtId="0" fontId="1" fillId="3" borderId="12" xfId="0" applyFont="1" applyFill="1" applyBorder="1" applyAlignment="1">
      <alignment horizontal="center" vertical="center"/>
    </xf>
    <xf numFmtId="0" fontId="1" fillId="3" borderId="7"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1" xfId="0" applyFont="1" applyFill="1" applyBorder="1" applyAlignment="1">
      <alignment horizontal="center" vertical="center"/>
    </xf>
    <xf numFmtId="0" fontId="13" fillId="4" borderId="1" xfId="0" applyFont="1" applyFill="1" applyBorder="1" applyAlignment="1">
      <alignment horizontal="center" vertical="center"/>
    </xf>
    <xf numFmtId="0" fontId="1" fillId="4" borderId="1" xfId="0" applyFont="1" applyFill="1" applyBorder="1" applyAlignment="1">
      <alignment horizontal="center" vertical="center"/>
    </xf>
    <xf numFmtId="0" fontId="14" fillId="5" borderId="9" xfId="0" applyFont="1" applyFill="1" applyBorder="1" applyAlignment="1">
      <alignment horizontal="center"/>
    </xf>
    <xf numFmtId="0" fontId="1" fillId="3" borderId="6" xfId="0" applyFont="1" applyFill="1" applyBorder="1" applyAlignment="1">
      <alignment horizontal="center" vertical="center"/>
    </xf>
    <xf numFmtId="0" fontId="11" fillId="4" borderId="1" xfId="0" applyFont="1" applyFill="1" applyBorder="1" applyAlignment="1">
      <alignment horizontal="center" vertical="center"/>
    </xf>
    <xf numFmtId="0" fontId="12" fillId="4" borderId="1" xfId="0" applyFont="1" applyFill="1" applyBorder="1" applyAlignment="1">
      <alignment horizontal="center" vertical="center"/>
    </xf>
    <xf numFmtId="0" fontId="15" fillId="8" borderId="1" xfId="0" applyFont="1" applyFill="1" applyBorder="1" applyAlignment="1">
      <alignment horizontal="center"/>
    </xf>
    <xf numFmtId="0" fontId="0" fillId="9" borderId="1" xfId="0" applyFill="1" applyBorder="1" applyAlignment="1">
      <alignment horizontal="center" vertical="center"/>
    </xf>
    <xf numFmtId="0" fontId="0" fillId="6" borderId="6" xfId="0" applyFill="1" applyBorder="1" applyAlignment="1">
      <alignment horizontal="center" vertical="center"/>
    </xf>
    <xf numFmtId="0" fontId="0" fillId="6" borderId="10" xfId="0" applyFill="1" applyBorder="1" applyAlignment="1">
      <alignment horizontal="center" vertical="center"/>
    </xf>
    <xf numFmtId="0" fontId="0" fillId="6" borderId="12" xfId="0" applyFill="1" applyBorder="1" applyAlignment="1">
      <alignment horizontal="center" vertical="center"/>
    </xf>
    <xf numFmtId="0" fontId="0" fillId="6" borderId="14" xfId="0" applyFill="1" applyBorder="1" applyAlignment="1">
      <alignment horizontal="center" vertical="center"/>
    </xf>
    <xf numFmtId="0" fontId="0" fillId="6" borderId="7" xfId="0" applyFill="1" applyBorder="1" applyAlignment="1">
      <alignment horizontal="center" vertical="center"/>
    </xf>
    <xf numFmtId="0" fontId="0" fillId="6" borderId="11" xfId="0" applyFill="1" applyBorder="1" applyAlignment="1">
      <alignment horizontal="center" vertical="center"/>
    </xf>
    <xf numFmtId="0" fontId="1" fillId="7" borderId="2" xfId="0" applyFont="1" applyFill="1" applyBorder="1" applyAlignment="1">
      <alignment horizontal="center" vertical="center"/>
    </xf>
    <xf numFmtId="0" fontId="1" fillId="7" borderId="3" xfId="0" applyFont="1" applyFill="1" applyBorder="1" applyAlignment="1">
      <alignment horizontal="center" vertical="center"/>
    </xf>
    <xf numFmtId="0" fontId="1" fillId="7" borderId="6" xfId="0" applyFont="1" applyFill="1" applyBorder="1" applyAlignment="1">
      <alignment horizontal="center" vertical="center"/>
    </xf>
    <xf numFmtId="0" fontId="1" fillId="7" borderId="10" xfId="0" applyFont="1" applyFill="1" applyBorder="1" applyAlignment="1">
      <alignment horizontal="center" vertical="center"/>
    </xf>
    <xf numFmtId="0" fontId="1" fillId="7" borderId="7" xfId="0" applyFont="1" applyFill="1" applyBorder="1" applyAlignment="1">
      <alignment horizontal="center" vertical="center"/>
    </xf>
    <xf numFmtId="0" fontId="1" fillId="7" borderId="11" xfId="0" applyFont="1" applyFill="1" applyBorder="1" applyAlignment="1">
      <alignment horizontal="center" vertical="center"/>
    </xf>
    <xf numFmtId="0" fontId="13" fillId="7" borderId="2" xfId="0" applyFont="1" applyFill="1" applyBorder="1" applyAlignment="1">
      <alignment horizontal="center" vertical="center"/>
    </xf>
    <xf numFmtId="0" fontId="13" fillId="7" borderId="3" xfId="0" applyFont="1" applyFill="1" applyBorder="1" applyAlignment="1">
      <alignment horizontal="center" vertical="center"/>
    </xf>
    <xf numFmtId="0" fontId="13" fillId="7" borderId="13" xfId="0" applyFont="1" applyFill="1" applyBorder="1" applyAlignment="1">
      <alignment horizontal="center" vertical="center"/>
    </xf>
  </cellXfs>
  <cellStyles count="1">
    <cellStyle name="Normalny"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ANALIZA POZIOMA CZ1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'Analiza Wstepna'!$A$5</c:f>
              <c:strCache>
                <c:ptCount val="1"/>
                <c:pt idx="0">
                  <c:v>RAZEM AKTYWA </c:v>
                </c:pt>
              </c:strCache>
            </c:strRef>
          </c:tx>
          <c:spPr>
            <a:solidFill>
              <a:srgbClr val="637CEF"/>
            </a:solidFill>
            <a:ln>
              <a:noFill/>
            </a:ln>
            <a:effectLst/>
          </c:spPr>
          <c:invertIfNegative val="0"/>
          <c:val>
            <c:numRef>
              <c:f>'Analiza Wstepna'!$B$5:$D$5</c:f>
              <c:numCache>
                <c:formatCode>#,##0.00</c:formatCode>
                <c:ptCount val="3"/>
                <c:pt idx="0">
                  <c:v>72162491.340000004</c:v>
                </c:pt>
                <c:pt idx="1">
                  <c:v>71525547.730000004</c:v>
                </c:pt>
                <c:pt idx="2">
                  <c:v>52305791.530000001</c:v>
                </c:pt>
              </c:numCache>
            </c:numRef>
          </c:val>
          <c:extLst>
            <c:ext xmlns:c16="http://schemas.microsoft.com/office/drawing/2014/chart" uri="{C3380CC4-5D6E-409C-BE32-E72D297353CC}">
              <c16:uniqueId val="{00000000-386F-4C69-84BF-0527A7F7B388}"/>
            </c:ext>
          </c:extLst>
        </c:ser>
        <c:ser>
          <c:idx val="1"/>
          <c:order val="1"/>
          <c:tx>
            <c:strRef>
              <c:f>'Analiza Wstepna'!$A$9</c:f>
              <c:strCache>
                <c:ptCount val="1"/>
                <c:pt idx="0">
                  <c:v>RAZEM PASYWA</c:v>
                </c:pt>
              </c:strCache>
            </c:strRef>
          </c:tx>
          <c:spPr>
            <a:solidFill>
              <a:srgbClr val="E3008C"/>
            </a:solidFill>
            <a:ln>
              <a:noFill/>
            </a:ln>
            <a:effectLst/>
          </c:spPr>
          <c:invertIfNegative val="0"/>
          <c:val>
            <c:numRef>
              <c:f>'Analiza Wstepna'!$B$9:$D$9</c:f>
              <c:numCache>
                <c:formatCode>#,##0.00</c:formatCode>
                <c:ptCount val="3"/>
                <c:pt idx="0">
                  <c:v>72162491.340000004</c:v>
                </c:pt>
                <c:pt idx="1">
                  <c:v>71525547.730000004</c:v>
                </c:pt>
                <c:pt idx="2">
                  <c:v>52305791.530000001</c:v>
                </c:pt>
              </c:numCache>
            </c:numRef>
          </c:val>
          <c:extLst>
            <c:ext xmlns:c16="http://schemas.microsoft.com/office/drawing/2014/chart" uri="{C3380CC4-5D6E-409C-BE32-E72D297353CC}">
              <c16:uniqueId val="{00000002-386F-4C69-84BF-0527A7F7B388}"/>
            </c:ext>
          </c:extLst>
        </c:ser>
        <c:dLbls>
          <c:showLegendKey val="0"/>
          <c:showVal val="0"/>
          <c:showCatName val="0"/>
          <c:showSerName val="0"/>
          <c:showPercent val="0"/>
          <c:showBubbleSize val="0"/>
        </c:dLbls>
        <c:gapWidth val="200"/>
        <c:overlap val="-27"/>
        <c:axId val="997362696"/>
        <c:axId val="997344264"/>
      </c:barChart>
      <c:catAx>
        <c:axId val="9973626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2022                   2023                      2024</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997344264"/>
        <c:crosses val="autoZero"/>
        <c:auto val="1"/>
        <c:lblAlgn val="ctr"/>
        <c:lblOffset val="100"/>
        <c:noMultiLvlLbl val="0"/>
      </c:catAx>
      <c:valAx>
        <c:axId val="9973442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3626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ANALIZA POZIOMA CZ2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'Analiza Wstepna'!$A$16</c:f>
              <c:strCache>
                <c:ptCount val="1"/>
                <c:pt idx="0">
                  <c:v>C. Zysk (strata) netto za rok obrotowy</c:v>
                </c:pt>
              </c:strCache>
            </c:strRef>
          </c:tx>
          <c:spPr>
            <a:solidFill>
              <a:srgbClr val="637CEF"/>
            </a:solidFill>
            <a:ln>
              <a:noFill/>
            </a:ln>
            <a:effectLst/>
          </c:spPr>
          <c:invertIfNegative val="0"/>
          <c:val>
            <c:numRef>
              <c:f>'Analiza Wstepna'!$B$16:$D$16</c:f>
              <c:numCache>
                <c:formatCode>#,##0.00</c:formatCode>
                <c:ptCount val="3"/>
                <c:pt idx="0">
                  <c:v>-2020884.55</c:v>
                </c:pt>
                <c:pt idx="1">
                  <c:v>236930.71</c:v>
                </c:pt>
                <c:pt idx="2">
                  <c:v>-10258888.789999999</c:v>
                </c:pt>
              </c:numCache>
            </c:numRef>
          </c:val>
          <c:extLst>
            <c:ext xmlns:c16="http://schemas.microsoft.com/office/drawing/2014/chart" uri="{C3380CC4-5D6E-409C-BE32-E72D297353CC}">
              <c16:uniqueId val="{00000000-1AFF-47E6-937A-8CB8DEE9372F}"/>
            </c:ext>
          </c:extLst>
        </c:ser>
        <c:ser>
          <c:idx val="1"/>
          <c:order val="1"/>
          <c:tx>
            <c:strRef>
              <c:f>'Analiza Wstepna'!$A$21</c:f>
              <c:strCache>
                <c:ptCount val="1"/>
                <c:pt idx="0">
                  <c:v>D. PRZEPŁYWY PIENIĘŻNE NETTO RAZEM (A.III +/- B.III +/- C.III)</c:v>
                </c:pt>
              </c:strCache>
            </c:strRef>
          </c:tx>
          <c:spPr>
            <a:solidFill>
              <a:srgbClr val="E3008C"/>
            </a:solidFill>
            <a:ln>
              <a:noFill/>
            </a:ln>
            <a:effectLst/>
          </c:spPr>
          <c:invertIfNegative val="0"/>
          <c:val>
            <c:numRef>
              <c:f>'Analiza Wstepna'!$B$21:$D$21</c:f>
              <c:numCache>
                <c:formatCode>#,##0.00</c:formatCode>
                <c:ptCount val="3"/>
                <c:pt idx="0">
                  <c:v>110871.31</c:v>
                </c:pt>
                <c:pt idx="1">
                  <c:v>15875224.24</c:v>
                </c:pt>
                <c:pt idx="2">
                  <c:v>-11874217.9</c:v>
                </c:pt>
              </c:numCache>
            </c:numRef>
          </c:val>
          <c:extLst>
            <c:ext xmlns:c16="http://schemas.microsoft.com/office/drawing/2014/chart" uri="{C3380CC4-5D6E-409C-BE32-E72D297353CC}">
              <c16:uniqueId val="{00000002-1AFF-47E6-937A-8CB8DEE9372F}"/>
            </c:ext>
          </c:extLst>
        </c:ser>
        <c:dLbls>
          <c:showLegendKey val="0"/>
          <c:showVal val="0"/>
          <c:showCatName val="0"/>
          <c:showSerName val="0"/>
          <c:showPercent val="0"/>
          <c:showBubbleSize val="0"/>
        </c:dLbls>
        <c:gapWidth val="219"/>
        <c:overlap val="-27"/>
        <c:axId val="1411639303"/>
        <c:axId val="1459478535"/>
      </c:barChart>
      <c:catAx>
        <c:axId val="14116393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2022                     2023                  2024</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478535"/>
        <c:crosses val="autoZero"/>
        <c:auto val="1"/>
        <c:lblAlgn val="ctr"/>
        <c:lblOffset val="100"/>
        <c:noMultiLvlLbl val="0"/>
      </c:catAx>
      <c:valAx>
        <c:axId val="14594785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6393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Anazliza p-p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'Analiza Wstepna'!$I$33</c:f>
              <c:strCache>
                <c:ptCount val="1"/>
                <c:pt idx="0">
                  <c:v>Złota Reguła Bilansowa</c:v>
                </c:pt>
              </c:strCache>
            </c:strRef>
          </c:tx>
          <c:spPr>
            <a:solidFill>
              <a:srgbClr val="637CEF"/>
            </a:solidFill>
            <a:ln>
              <a:noFill/>
            </a:ln>
            <a:effectLst/>
          </c:spPr>
          <c:invertIfNegative val="0"/>
          <c:val>
            <c:numRef>
              <c:f>'Analiza Wstepna'!$J$33:$L$33</c:f>
              <c:numCache>
                <c:formatCode>General</c:formatCode>
                <c:ptCount val="3"/>
                <c:pt idx="0">
                  <c:v>1.5286700947204976</c:v>
                </c:pt>
                <c:pt idx="1">
                  <c:v>1.577753252204827</c:v>
                </c:pt>
                <c:pt idx="2">
                  <c:v>1.2696495318269834</c:v>
                </c:pt>
              </c:numCache>
            </c:numRef>
          </c:val>
          <c:extLst>
            <c:ext xmlns:c16="http://schemas.microsoft.com/office/drawing/2014/chart" uri="{C3380CC4-5D6E-409C-BE32-E72D297353CC}">
              <c16:uniqueId val="{00000000-FF9D-45E4-B264-3DD7083FC316}"/>
            </c:ext>
          </c:extLst>
        </c:ser>
        <c:ser>
          <c:idx val="1"/>
          <c:order val="1"/>
          <c:tx>
            <c:strRef>
              <c:f>'Analiza Wstepna'!$I$34</c:f>
              <c:strCache>
                <c:ptCount val="1"/>
                <c:pt idx="0">
                  <c:v>Srebrna Reguła Bilansowa</c:v>
                </c:pt>
              </c:strCache>
            </c:strRef>
          </c:tx>
          <c:spPr>
            <a:solidFill>
              <a:srgbClr val="E3008C"/>
            </a:solidFill>
            <a:ln>
              <a:noFill/>
            </a:ln>
            <a:effectLst/>
          </c:spPr>
          <c:invertIfNegative val="0"/>
          <c:val>
            <c:numRef>
              <c:f>'Analiza Wstepna'!$J$34:$L$34</c:f>
              <c:numCache>
                <c:formatCode>General</c:formatCode>
                <c:ptCount val="3"/>
                <c:pt idx="0">
                  <c:v>1.7196939671395333</c:v>
                </c:pt>
                <c:pt idx="1">
                  <c:v>1.7654685705421396</c:v>
                </c:pt>
                <c:pt idx="2">
                  <c:v>1.4911847569469696</c:v>
                </c:pt>
              </c:numCache>
            </c:numRef>
          </c:val>
          <c:extLst>
            <c:ext xmlns:c16="http://schemas.microsoft.com/office/drawing/2014/chart" uri="{C3380CC4-5D6E-409C-BE32-E72D297353CC}">
              <c16:uniqueId val="{00000002-FF9D-45E4-B264-3DD7083FC316}"/>
            </c:ext>
          </c:extLst>
        </c:ser>
        <c:dLbls>
          <c:showLegendKey val="0"/>
          <c:showVal val="0"/>
          <c:showCatName val="0"/>
          <c:showSerName val="0"/>
          <c:showPercent val="0"/>
          <c:showBubbleSize val="0"/>
        </c:dLbls>
        <c:gapWidth val="219"/>
        <c:overlap val="-27"/>
        <c:axId val="1930457096"/>
        <c:axId val="1930459144"/>
      </c:barChart>
      <c:catAx>
        <c:axId val="193045709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0459144"/>
        <c:crosses val="autoZero"/>
        <c:auto val="1"/>
        <c:lblAlgn val="ctr"/>
        <c:lblOffset val="100"/>
        <c:noMultiLvlLbl val="0"/>
      </c:catAx>
      <c:valAx>
        <c:axId val="1930459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04570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3.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466725</xdr:colOff>
      <xdr:row>21</xdr:row>
      <xdr:rowOff>152400</xdr:rowOff>
    </xdr:from>
    <xdr:to>
      <xdr:col>2</xdr:col>
      <xdr:colOff>304800</xdr:colOff>
      <xdr:row>26</xdr:row>
      <xdr:rowOff>152400</xdr:rowOff>
    </xdr:to>
    <xdr:sp macro="" textlink="">
      <xdr:nvSpPr>
        <xdr:cNvPr id="2" name="Pole tekstowe 1">
          <a:extLst>
            <a:ext uri="{FF2B5EF4-FFF2-40B4-BE49-F238E27FC236}">
              <a16:creationId xmlns:a16="http://schemas.microsoft.com/office/drawing/2014/main" id="{F1AFE6DE-5FFF-A4EA-57D7-F149752DAAA4}"/>
            </a:ext>
          </a:extLst>
        </xdr:cNvPr>
        <xdr:cNvSpPr txBox="1"/>
      </xdr:nvSpPr>
      <xdr:spPr>
        <a:xfrm>
          <a:off x="466725" y="4552950"/>
          <a:ext cx="5372100" cy="9525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WNIOSKI Z ANALIZY POZIOMEJ:</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-W 2022/23 SYTUACJA SYTUACJA SPÓŁKI BYŁA STABLINA, EW DROBNE SPADKI</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-W 2023-24 NASTAPIŁ GWAŁTOWNY REGRES, SUMA BILANSOWA SPADŁA O 27%. MOŻE TO OZNACZAĆ ŻE FIRMA GWAŁTOWNIE OGRNICZA DZIAŁALNOŚĆ LUB WYPRZEDAJE MAJĄTEK.</a:t>
          </a:r>
        </a:p>
      </xdr:txBody>
    </xdr:sp>
    <xdr:clientData/>
  </xdr:twoCellAnchor>
  <xdr:twoCellAnchor>
    <xdr:from>
      <xdr:col>2</xdr:col>
      <xdr:colOff>485775</xdr:colOff>
      <xdr:row>21</xdr:row>
      <xdr:rowOff>123825</xdr:rowOff>
    </xdr:from>
    <xdr:to>
      <xdr:col>6</xdr:col>
      <xdr:colOff>76200</xdr:colOff>
      <xdr:row>26</xdr:row>
      <xdr:rowOff>123825</xdr:rowOff>
    </xdr:to>
    <xdr:sp macro="" textlink="">
      <xdr:nvSpPr>
        <xdr:cNvPr id="3" name="Pole tekstowe 2">
          <a:extLst>
            <a:ext uri="{FF2B5EF4-FFF2-40B4-BE49-F238E27FC236}">
              <a16:creationId xmlns:a16="http://schemas.microsoft.com/office/drawing/2014/main" id="{2E54B5E8-2E21-0890-E3DA-A810B22C04EC}"/>
            </a:ext>
            <a:ext uri="{147F2762-F138-4A5C-976F-8EAC2B608ADB}">
              <a16:predDERef xmlns:a16="http://schemas.microsoft.com/office/drawing/2014/main" pred="{F1AFE6DE-5FFF-A4EA-57D7-F149752DAAA4}"/>
            </a:ext>
          </a:extLst>
        </xdr:cNvPr>
        <xdr:cNvSpPr txBox="1"/>
      </xdr:nvSpPr>
      <xdr:spPr>
        <a:xfrm>
          <a:off x="6019800" y="4524375"/>
          <a:ext cx="5314950" cy="9525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-OBSERWUJEMY TENDENCJE SPADKOWĄ W AKTYWACH TRWAŁYCH -3 I -20 %, MOŻE TO OZNACZAĆ WSTRZYMANIE PROCESÓW INWESTYCYJNYCH.</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-NASĄPIŁO RÓZNIEŻ ZMNIEJSZENIE WARTOŚCI AKTYWÓW OBROTOWYCH - 32 % CO MOŻE OZNACZAĆ PROBLEMY Z UTRZYMANIEM ZAPASÓW NA ODPOWIEDNIM POZIOMIE LUB GWĄŁTOWNE ŚCIAGANIE NAZLEŻNOŚCI.</a:t>
          </a:r>
        </a:p>
      </xdr:txBody>
    </xdr:sp>
    <xdr:clientData/>
  </xdr:twoCellAnchor>
  <xdr:twoCellAnchor>
    <xdr:from>
      <xdr:col>6</xdr:col>
      <xdr:colOff>209550</xdr:colOff>
      <xdr:row>21</xdr:row>
      <xdr:rowOff>114300</xdr:rowOff>
    </xdr:from>
    <xdr:to>
      <xdr:col>9</xdr:col>
      <xdr:colOff>152400</xdr:colOff>
      <xdr:row>26</xdr:row>
      <xdr:rowOff>114300</xdr:rowOff>
    </xdr:to>
    <xdr:sp macro="" textlink="">
      <xdr:nvSpPr>
        <xdr:cNvPr id="4" name="Pole tekstowe 3">
          <a:extLst>
            <a:ext uri="{FF2B5EF4-FFF2-40B4-BE49-F238E27FC236}">
              <a16:creationId xmlns:a16="http://schemas.microsoft.com/office/drawing/2014/main" id="{DA82118C-4B88-7DD0-1742-95F2BE62D399}"/>
            </a:ext>
            <a:ext uri="{147F2762-F138-4A5C-976F-8EAC2B608ADB}">
              <a16:predDERef xmlns:a16="http://schemas.microsoft.com/office/drawing/2014/main" pred="{2E54B5E8-2E21-0890-E3DA-A810B22C04EC}"/>
            </a:ext>
          </a:extLst>
        </xdr:cNvPr>
        <xdr:cNvSpPr txBox="1"/>
      </xdr:nvSpPr>
      <xdr:spPr>
        <a:xfrm>
          <a:off x="11468100" y="4514850"/>
          <a:ext cx="4876800" cy="9525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W 2024 OBSERWUJEMY TEŻ OGROMNY SPADEK KAPITAŁU WŁASNEGO - BEZPOŚREDNI SKUTEK STRATY NETTO PONIESIONEJ W TYM ROKU</a:t>
          </a:r>
        </a:p>
        <a:p>
          <a:pPr marL="0" indent="0" algn="l"/>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FIRMA REDUKUJE ZADŁUŻENIE JEDNAK JEST TO ROBIONE W WOLNIEJSZYM TEMPIE NIŻ TEMPO SPADKU KAPITAŁÓW WŁASNYCH I MAJĄTKÓW</a:t>
          </a:r>
        </a:p>
      </xdr:txBody>
    </xdr:sp>
    <xdr:clientData/>
  </xdr:twoCellAnchor>
  <xdr:twoCellAnchor>
    <xdr:from>
      <xdr:col>9</xdr:col>
      <xdr:colOff>514350</xdr:colOff>
      <xdr:row>21</xdr:row>
      <xdr:rowOff>142875</xdr:rowOff>
    </xdr:from>
    <xdr:to>
      <xdr:col>18</xdr:col>
      <xdr:colOff>9525</xdr:colOff>
      <xdr:row>27</xdr:row>
      <xdr:rowOff>142875</xdr:rowOff>
    </xdr:to>
    <xdr:sp macro="" textlink="">
      <xdr:nvSpPr>
        <xdr:cNvPr id="5" name="Pole tekstowe 4">
          <a:extLst>
            <a:ext uri="{FF2B5EF4-FFF2-40B4-BE49-F238E27FC236}">
              <a16:creationId xmlns:a16="http://schemas.microsoft.com/office/drawing/2014/main" id="{2966AC93-6402-13B7-EDA0-878EDD30F90B}"/>
            </a:ext>
            <a:ext uri="{147F2762-F138-4A5C-976F-8EAC2B608ADB}">
              <a16:predDERef xmlns:a16="http://schemas.microsoft.com/office/drawing/2014/main" pred="{DA82118C-4B88-7DD0-1742-95F2BE62D399}"/>
            </a:ext>
          </a:extLst>
        </xdr:cNvPr>
        <xdr:cNvSpPr txBox="1"/>
      </xdr:nvSpPr>
      <xdr:spPr>
        <a:xfrm>
          <a:off x="16706850" y="4543425"/>
          <a:ext cx="5886450" cy="11430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ZAŁAMANIE SPRZEDAŻY W 2024 - UTRATA KLIENTÓW LUB CZĘSCI RYNKU</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PRZYCHODY SPADŁY O 23 PROCENT A KOSZTY TYLKO O 15 % - WYSOKI UDZIAŁ KOSZTÓW STAŁYCH </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ROK 2024 ZAKOŃCZYŁ SIĘ STRATĄ PONAD 10 MIN ZŁ CO JEST PO PROSTU FATALNYM WYNIKIEM </a:t>
          </a:r>
        </a:p>
        <a:p>
          <a:pPr marL="0" indent="0" algn="l"/>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W FIRMIE PANOWAŁ OGROMNY KRYSYS NA PRZEŁOMIE 2023/24 ROKU WSZYTKIE WSKAŹNIKI NA TO WSKANZUJĄ</a:t>
          </a:r>
        </a:p>
      </xdr:txBody>
    </xdr:sp>
    <xdr:clientData/>
  </xdr:twoCellAnchor>
  <xdr:twoCellAnchor>
    <xdr:from>
      <xdr:col>7</xdr:col>
      <xdr:colOff>1419225</xdr:colOff>
      <xdr:row>35</xdr:row>
      <xdr:rowOff>123825</xdr:rowOff>
    </xdr:from>
    <xdr:to>
      <xdr:col>13</xdr:col>
      <xdr:colOff>209550</xdr:colOff>
      <xdr:row>40</xdr:row>
      <xdr:rowOff>123825</xdr:rowOff>
    </xdr:to>
    <xdr:sp macro="" textlink="">
      <xdr:nvSpPr>
        <xdr:cNvPr id="6" name="Pole tekstowe 5">
          <a:extLst>
            <a:ext uri="{FF2B5EF4-FFF2-40B4-BE49-F238E27FC236}">
              <a16:creationId xmlns:a16="http://schemas.microsoft.com/office/drawing/2014/main" id="{0FD9A129-D6A4-DD4D-C653-E9AE2AF7A1D7}"/>
            </a:ext>
            <a:ext uri="{147F2762-F138-4A5C-976F-8EAC2B608ADB}">
              <a16:predDERef xmlns:a16="http://schemas.microsoft.com/office/drawing/2014/main" pred="{2966AC93-6402-13B7-EDA0-878EDD30F90B}"/>
            </a:ext>
          </a:extLst>
        </xdr:cNvPr>
        <xdr:cNvSpPr txBox="1"/>
      </xdr:nvSpPr>
      <xdr:spPr>
        <a:xfrm>
          <a:off x="14420850" y="7191375"/>
          <a:ext cx="6124575" cy="9525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ZŁOTA REGUŁA &gt;1 - SPEŁNIONA.  Firma finansuje cały swój majątek trwały wyłącznie kapitałem własnym mimo krzysowej sytuacji w 2024. Spadek z 1,5 do 1,26 jest lekko martwiący - konsekwencja kryzysu.</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SREBRNA REGUŁA &gt;1 - SPEŁNIONA.  Kapitał stały w pełni pokrywa aktywa trwałe, a nadwyżka służy do finansowania bieżącej działalności. Mimo kryzysu (1,7 do 1,5) zapas pozostaje bezpieczny.</a:t>
          </a:r>
        </a:p>
      </xdr:txBody>
    </xdr:sp>
    <xdr:clientData/>
  </xdr:twoCellAnchor>
  <xdr:twoCellAnchor>
    <xdr:from>
      <xdr:col>7</xdr:col>
      <xdr:colOff>990600</xdr:colOff>
      <xdr:row>48</xdr:row>
      <xdr:rowOff>171450</xdr:rowOff>
    </xdr:from>
    <xdr:to>
      <xdr:col>13</xdr:col>
      <xdr:colOff>381000</xdr:colOff>
      <xdr:row>57</xdr:row>
      <xdr:rowOff>114300</xdr:rowOff>
    </xdr:to>
    <xdr:sp macro="" textlink="">
      <xdr:nvSpPr>
        <xdr:cNvPr id="7" name="Pole tekstowe 6">
          <a:extLst>
            <a:ext uri="{FF2B5EF4-FFF2-40B4-BE49-F238E27FC236}">
              <a16:creationId xmlns:a16="http://schemas.microsoft.com/office/drawing/2014/main" id="{A345AB81-184E-0FA9-B8D1-558E85885376}"/>
            </a:ext>
            <a:ext uri="{147F2762-F138-4A5C-976F-8EAC2B608ADB}">
              <a16:predDERef xmlns:a16="http://schemas.microsoft.com/office/drawing/2014/main" pred="{0FD9A129-D6A4-DD4D-C653-E9AE2AF7A1D7}"/>
            </a:ext>
          </a:extLst>
        </xdr:cNvPr>
        <xdr:cNvSpPr txBox="1"/>
      </xdr:nvSpPr>
      <xdr:spPr>
        <a:xfrm>
          <a:off x="13992225" y="9715500"/>
          <a:ext cx="6724650" cy="165735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1.Zmiana znaku przepływów operacyjnych na ujemny w 2024 roku. W latach 2022–2023 firma generowała nadwyżki finansowe z podstawowej działalności . W 2024 roku działalność ta zaczęła  przynosić straty, co potwierdza diagnozę postawioną w analizie RZiS o utracie rentowności i problemach ze zbytem. </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2. W roku 2024 nastąpiło odwrócenie w działalności inwestycyjnej. Oznacza to, że firma przestała inwestować w rozwój , a zaczęła upłynniać posiadany majątek. Jest to typowe działanie ratunkowe mające na celu pokrycie dziury w płynności operacyjnej.  </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3. Mimo trudnej sytuacji, przepływy finansowe pozostają ujemne. Oznacza to, że firma nie pozyskała nowego ratunkowego kredytu ani dopłat od właścicieli, a wręcz przeciwnie – musi spłacać dotychczasowe zobowiązania.</a:t>
          </a:r>
        </a:p>
      </xdr:txBody>
    </xdr:sp>
    <xdr:clientData/>
  </xdr:twoCellAnchor>
  <xdr:twoCellAnchor>
    <xdr:from>
      <xdr:col>14</xdr:col>
      <xdr:colOff>66675</xdr:colOff>
      <xdr:row>5</xdr:row>
      <xdr:rowOff>19050</xdr:rowOff>
    </xdr:from>
    <xdr:to>
      <xdr:col>19</xdr:col>
      <xdr:colOff>504825</xdr:colOff>
      <xdr:row>20</xdr:row>
      <xdr:rowOff>171450</xdr:rowOff>
    </xdr:to>
    <xdr:graphicFrame macro="">
      <xdr:nvGraphicFramePr>
        <xdr:cNvPr id="12" name="Wykres 11">
          <a:extLst>
            <a:ext uri="{FF2B5EF4-FFF2-40B4-BE49-F238E27FC236}">
              <a16:creationId xmlns:a16="http://schemas.microsoft.com/office/drawing/2014/main" id="{46D9ADB6-DB7A-2414-C4A3-B5CC528101B8}"/>
            </a:ext>
            <a:ext uri="{147F2762-F138-4A5C-976F-8EAC2B608ADB}">
              <a16:predDERef xmlns:a16="http://schemas.microsoft.com/office/drawing/2014/main" pred="{A345AB81-184E-0FA9-B8D1-558E858853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190500</xdr:colOff>
      <xdr:row>5</xdr:row>
      <xdr:rowOff>57150</xdr:rowOff>
    </xdr:from>
    <xdr:to>
      <xdr:col>14</xdr:col>
      <xdr:colOff>28575</xdr:colOff>
      <xdr:row>20</xdr:row>
      <xdr:rowOff>114300</xdr:rowOff>
    </xdr:to>
    <xdr:graphicFrame macro="">
      <xdr:nvGraphicFramePr>
        <xdr:cNvPr id="13" name="Wykres 12">
          <a:extLst>
            <a:ext uri="{FF2B5EF4-FFF2-40B4-BE49-F238E27FC236}">
              <a16:creationId xmlns:a16="http://schemas.microsoft.com/office/drawing/2014/main" id="{F3263E42-1AB0-8C54-1239-07054A99A4BF}"/>
            </a:ext>
            <a:ext uri="{147F2762-F138-4A5C-976F-8EAC2B608ADB}">
              <a16:predDERef xmlns:a16="http://schemas.microsoft.com/office/drawing/2014/main" pred="{46D9ADB6-DB7A-2414-C4A3-B5CC528101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409575</xdr:colOff>
      <xdr:row>28</xdr:row>
      <xdr:rowOff>57150</xdr:rowOff>
    </xdr:from>
    <xdr:to>
      <xdr:col>21</xdr:col>
      <xdr:colOff>257175</xdr:colOff>
      <xdr:row>42</xdr:row>
      <xdr:rowOff>133350</xdr:rowOff>
    </xdr:to>
    <xdr:graphicFrame macro="">
      <xdr:nvGraphicFramePr>
        <xdr:cNvPr id="16" name="Wykres 15">
          <a:extLst>
            <a:ext uri="{FF2B5EF4-FFF2-40B4-BE49-F238E27FC236}">
              <a16:creationId xmlns:a16="http://schemas.microsoft.com/office/drawing/2014/main" id="{4CA7BF71-F74C-5213-EF57-FCDEA3271E07}"/>
            </a:ext>
            <a:ext uri="{147F2762-F138-4A5C-976F-8EAC2B608ADB}">
              <a16:predDERef xmlns:a16="http://schemas.microsoft.com/office/drawing/2014/main" pred="{F3263E42-1AB0-8C54-1239-07054A99A4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-6105525</xdr:colOff>
      <xdr:row>0</xdr:row>
      <xdr:rowOff>-381000</xdr:rowOff>
    </xdr:from>
    <xdr:to>
      <xdr:col>0</xdr:col>
      <xdr:colOff>-6105525</xdr:colOff>
      <xdr:row>0</xdr:row>
      <xdr:rowOff>-381000</xdr:rowOff>
    </xdr:to>
    <xdr:pic>
      <xdr:nvPicPr>
        <xdr:cNvPr id="2" name="Obraz 1">
          <a:extLst>
            <a:ext uri="{FF2B5EF4-FFF2-40B4-BE49-F238E27FC236}">
              <a16:creationId xmlns:a16="http://schemas.microsoft.com/office/drawing/2014/main" id="{314A80E5-FB15-917D-9A37-731AB3237FAF}"/>
            </a:ext>
          </a:extLst>
        </xdr:cNvPr>
        <xdr:cNvPicPr>
          <a:picLocks noChangeAspect="1"/>
        </xdr:cNvPicPr>
      </xdr:nvPicPr>
      <xdr:blipFill>
        <a:blip xmlns:r="http://schemas.openxmlformats.org/officeDocument/2006/relationships" r:embed="rId1"/>
        <a:stretch>
          <a:fillRect/>
        </a:stretch>
      </xdr:blipFill>
      <xdr:spPr>
        <a:xfrm rot="5431538">
          <a:off x="-6105525" y="-38100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66675</xdr:colOff>
      <xdr:row>2</xdr:row>
      <xdr:rowOff>180975</xdr:rowOff>
    </xdr:from>
    <xdr:to>
      <xdr:col>25</xdr:col>
      <xdr:colOff>114300</xdr:colOff>
      <xdr:row>23</xdr:row>
      <xdr:rowOff>142875</xdr:rowOff>
    </xdr:to>
    <xdr:sp macro="" textlink="">
      <xdr:nvSpPr>
        <xdr:cNvPr id="2" name="Pole tekstowe 1">
          <a:extLst>
            <a:ext uri="{FF2B5EF4-FFF2-40B4-BE49-F238E27FC236}">
              <a16:creationId xmlns:a16="http://schemas.microsoft.com/office/drawing/2014/main" id="{8469EC80-5FD9-C81E-5EE4-4DDC6414143A}"/>
            </a:ext>
          </a:extLst>
        </xdr:cNvPr>
        <xdr:cNvSpPr txBox="1"/>
      </xdr:nvSpPr>
      <xdr:spPr>
        <a:xfrm>
          <a:off x="1247775" y="561975"/>
          <a:ext cx="13630275" cy="39624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Wnioski:</a:t>
          </a:r>
        </a:p>
        <a:p>
          <a:pPr marL="0" indent="0" algn="l"/>
          <a:r>
            <a:rPr lang="en-US" sz="1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a:t>
          </a:r>
          <a:r>
            <a:rPr lang="en-US" sz="1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Suma bilansowa w 2024 roku spadła o 26,87% w porównaniu do roku poprzedniego. Jest to sygnał silnego wycofywania kapitału lub wyprzedaży majątku w celu pokrycia strat.</a:t>
          </a:r>
        </a:p>
        <a:p>
          <a:pPr marL="0" indent="0" algn="l"/>
          <a:r>
            <a:rPr lang="en-US" sz="1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 W aktywach obrotowych drastycznie spadł udział środków pieniężnych (dynamika -71,56%). Firma straciła większość swoich rezerw gotówkowych na rzecz finansowania bieżącej działalności i strat.</a:t>
          </a:r>
        </a:p>
        <a:p>
          <a:pPr marL="0" indent="0" algn="l"/>
          <a:r>
            <a:rPr lang="en-US" sz="1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 Wskaźnik ogólnego zadłużenia wzrósł do 40,99% (2024 r.), co przy medianie sektora wynoszącej 29,78% plasuje spółkę w grupie podwyższonego ryzyka</a:t>
          </a:r>
        </a:p>
        <a:p>
          <a:pPr marL="0" indent="0" algn="l"/>
          <a:r>
            <a:rPr lang="en-US" sz="1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 Wskaźnik płynności gotówkowej załamał się z poziomu 1,35 (lider w 2023 r.) do zaledwie 0,47 w 2024 r.. Spółka posiada gotówkę na pokrycie mniej niż połowy swoich bieżących zobowiązań, podczas gdy standard rynkowy to 1,0.</a:t>
          </a:r>
        </a:p>
        <a:p>
          <a:pPr marL="0" indent="0" algn="l"/>
          <a:r>
            <a:rPr lang="en-US" sz="1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 Trwałość struktury finansowania spadła do 0,69, co oznacza, że kapitał stały finansuje mniejszą część majątku niż wynosi średnia w branży (0,73).</a:t>
          </a:r>
        </a:p>
        <a:p>
          <a:pPr marL="0" indent="0" algn="l"/>
          <a:r>
            <a:rPr lang="en-US" sz="1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 Rok 2024 przyniósł ujemne wyniki na każdym poziomie. ROE na poziomie -26,03% przy medianie sektora +20,06% świadczy o skrajnie złej sytuacji inwestycyjnej. Każda złotówka kapitału własnego przynosi stratę.</a:t>
          </a:r>
        </a:p>
        <a:p>
          <a:pPr marL="0" indent="0" algn="l"/>
          <a:r>
            <a:rPr lang="en-US" sz="1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 Spółka boryka się z bardzo długim czasem ściągania pieniędzy od klientów (69,79 dni).</a:t>
          </a:r>
        </a:p>
        <a:p>
          <a:pPr marL="0" indent="0" algn="l"/>
          <a:r>
            <a:rPr lang="en-US" sz="1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 Wynik -16,24% oznacza, że koszty operacyjne są niedoszacowane względem przychodów lub spółka realizuje nierentowne kontrakty, co prowadzi do pogłębiania strat wykazanych w analizie poziomej.</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5:W46"/>
  <sheetViews>
    <sheetView tabSelected="1" topLeftCell="A26" workbookViewId="0">
      <selection activeCell="H37" sqref="H37:P46"/>
    </sheetView>
  </sheetViews>
  <sheetFormatPr defaultColWidth="8.85546875" defaultRowHeight="15"/>
  <cols>
    <col min="1" max="1" width="35.7109375" bestFit="1" customWidth="1"/>
  </cols>
  <sheetData>
    <row r="5" spans="1:23">
      <c r="A5" s="55" t="s">
        <v>0</v>
      </c>
      <c r="B5" s="56"/>
      <c r="C5" s="56"/>
      <c r="D5" s="56"/>
      <c r="E5" s="56"/>
      <c r="F5" s="56"/>
      <c r="G5" s="56"/>
      <c r="H5" s="56"/>
      <c r="I5" s="56"/>
      <c r="J5" s="56"/>
      <c r="K5" s="56"/>
      <c r="L5" s="56"/>
      <c r="M5" s="56"/>
      <c r="N5" s="56"/>
      <c r="O5" s="56"/>
      <c r="P5" s="56"/>
      <c r="Q5" s="56"/>
      <c r="R5" s="56"/>
      <c r="S5" s="56"/>
      <c r="T5" s="56"/>
      <c r="U5" s="56"/>
      <c r="V5" s="56"/>
      <c r="W5" s="56"/>
    </row>
    <row r="6" spans="1:23">
      <c r="A6" s="56"/>
      <c r="B6" s="56"/>
      <c r="C6" s="56"/>
      <c r="D6" s="56"/>
      <c r="E6" s="56"/>
      <c r="F6" s="56"/>
      <c r="G6" s="56"/>
      <c r="H6" s="56"/>
      <c r="I6" s="56"/>
      <c r="J6" s="56"/>
      <c r="K6" s="56"/>
      <c r="L6" s="56"/>
      <c r="M6" s="56"/>
      <c r="N6" s="56"/>
      <c r="O6" s="56"/>
      <c r="P6" s="56"/>
      <c r="Q6" s="56"/>
      <c r="R6" s="56"/>
      <c r="S6" s="56"/>
      <c r="T6" s="56"/>
      <c r="U6" s="56"/>
      <c r="V6" s="56"/>
      <c r="W6" s="56"/>
    </row>
    <row r="7" spans="1:23">
      <c r="A7" s="56"/>
      <c r="B7" s="56"/>
      <c r="C7" s="56"/>
      <c r="D7" s="56"/>
      <c r="E7" s="56"/>
      <c r="F7" s="56"/>
      <c r="G7" s="56"/>
      <c r="H7" s="56"/>
      <c r="I7" s="56"/>
      <c r="J7" s="56"/>
      <c r="K7" s="56"/>
      <c r="L7" s="56"/>
      <c r="M7" s="56"/>
      <c r="N7" s="56"/>
      <c r="O7" s="56"/>
      <c r="P7" s="56"/>
      <c r="Q7" s="56"/>
      <c r="R7" s="56"/>
      <c r="S7" s="56"/>
      <c r="T7" s="56"/>
      <c r="U7" s="56"/>
      <c r="V7" s="56"/>
      <c r="W7" s="56"/>
    </row>
    <row r="8" spans="1:23">
      <c r="A8" s="56"/>
      <c r="B8" s="56"/>
      <c r="C8" s="56"/>
      <c r="D8" s="56"/>
      <c r="E8" s="56"/>
      <c r="F8" s="56"/>
      <c r="G8" s="56"/>
      <c r="H8" s="56"/>
      <c r="I8" s="56"/>
      <c r="J8" s="56"/>
      <c r="K8" s="56"/>
      <c r="L8" s="56"/>
      <c r="M8" s="56"/>
      <c r="N8" s="56"/>
      <c r="O8" s="56"/>
      <c r="P8" s="56"/>
      <c r="Q8" s="56"/>
      <c r="R8" s="56"/>
      <c r="S8" s="56"/>
      <c r="T8" s="56"/>
      <c r="U8" s="56"/>
      <c r="V8" s="56"/>
      <c r="W8" s="56"/>
    </row>
    <row r="9" spans="1:23">
      <c r="A9" s="56"/>
      <c r="B9" s="56"/>
      <c r="C9" s="56"/>
      <c r="D9" s="56"/>
      <c r="E9" s="56"/>
      <c r="F9" s="56"/>
      <c r="G9" s="56"/>
      <c r="H9" s="56"/>
      <c r="I9" s="56"/>
      <c r="J9" s="56"/>
      <c r="K9" s="56"/>
      <c r="L9" s="56"/>
      <c r="M9" s="56"/>
      <c r="N9" s="56"/>
      <c r="O9" s="56"/>
      <c r="P9" s="56"/>
      <c r="Q9" s="56"/>
      <c r="R9" s="56"/>
      <c r="S9" s="56"/>
      <c r="T9" s="56"/>
      <c r="U9" s="56"/>
      <c r="V9" s="56"/>
      <c r="W9" s="56"/>
    </row>
    <row r="10" spans="1:23">
      <c r="A10" s="56"/>
      <c r="B10" s="56"/>
      <c r="C10" s="56"/>
      <c r="D10" s="56"/>
      <c r="E10" s="56"/>
      <c r="F10" s="56"/>
      <c r="G10" s="56"/>
      <c r="H10" s="56"/>
      <c r="I10" s="56"/>
      <c r="J10" s="56"/>
      <c r="K10" s="56"/>
      <c r="L10" s="56"/>
      <c r="M10" s="56"/>
      <c r="N10" s="56"/>
      <c r="O10" s="56"/>
      <c r="P10" s="56"/>
      <c r="Q10" s="56"/>
      <c r="R10" s="56"/>
      <c r="S10" s="56"/>
      <c r="T10" s="56"/>
      <c r="U10" s="56"/>
      <c r="V10" s="56"/>
      <c r="W10" s="56"/>
    </row>
    <row r="11" spans="1:23">
      <c r="A11" s="56"/>
      <c r="B11" s="56"/>
      <c r="C11" s="56"/>
      <c r="D11" s="56"/>
      <c r="E11" s="56"/>
      <c r="F11" s="56"/>
      <c r="G11" s="56"/>
      <c r="H11" s="56"/>
      <c r="I11" s="56"/>
      <c r="J11" s="56"/>
      <c r="K11" s="56"/>
      <c r="L11" s="56"/>
      <c r="M11" s="56"/>
      <c r="N11" s="56"/>
      <c r="O11" s="56"/>
      <c r="P11" s="56"/>
      <c r="Q11" s="56"/>
      <c r="R11" s="56"/>
      <c r="S11" s="56"/>
      <c r="T11" s="56"/>
      <c r="U11" s="56"/>
      <c r="V11" s="56"/>
      <c r="W11" s="56"/>
    </row>
    <row r="12" spans="1:23">
      <c r="A12" s="56"/>
      <c r="B12" s="56"/>
      <c r="C12" s="56"/>
      <c r="D12" s="56"/>
      <c r="E12" s="56"/>
      <c r="F12" s="56"/>
      <c r="G12" s="56"/>
      <c r="H12" s="56"/>
      <c r="I12" s="56"/>
      <c r="J12" s="56"/>
      <c r="K12" s="56"/>
      <c r="L12" s="56"/>
      <c r="M12" s="56"/>
      <c r="N12" s="56"/>
      <c r="O12" s="56"/>
      <c r="P12" s="56"/>
      <c r="Q12" s="56"/>
      <c r="R12" s="56"/>
      <c r="S12" s="56"/>
      <c r="T12" s="56"/>
      <c r="U12" s="56"/>
      <c r="V12" s="56"/>
      <c r="W12" s="56"/>
    </row>
    <row r="13" spans="1:23">
      <c r="A13" s="56"/>
      <c r="B13" s="56"/>
      <c r="C13" s="56"/>
      <c r="D13" s="56"/>
      <c r="E13" s="56"/>
      <c r="F13" s="56"/>
      <c r="G13" s="56"/>
      <c r="H13" s="56"/>
      <c r="I13" s="56"/>
      <c r="J13" s="56"/>
      <c r="K13" s="56"/>
      <c r="L13" s="56"/>
      <c r="M13" s="56"/>
      <c r="N13" s="56"/>
      <c r="O13" s="56"/>
      <c r="P13" s="56"/>
      <c r="Q13" s="56"/>
      <c r="R13" s="56"/>
      <c r="S13" s="56"/>
      <c r="T13" s="56"/>
      <c r="U13" s="56"/>
      <c r="V13" s="56"/>
      <c r="W13" s="56"/>
    </row>
    <row r="14" spans="1:23">
      <c r="A14" s="56"/>
      <c r="B14" s="56"/>
      <c r="C14" s="56"/>
      <c r="D14" s="56"/>
      <c r="E14" s="56"/>
      <c r="F14" s="56"/>
      <c r="G14" s="56"/>
      <c r="H14" s="56"/>
      <c r="I14" s="56"/>
      <c r="J14" s="56"/>
      <c r="K14" s="56"/>
      <c r="L14" s="56"/>
      <c r="M14" s="56"/>
      <c r="N14" s="56"/>
      <c r="O14" s="56"/>
      <c r="P14" s="56"/>
      <c r="Q14" s="56"/>
      <c r="R14" s="56"/>
      <c r="S14" s="56"/>
      <c r="T14" s="56"/>
      <c r="U14" s="56"/>
      <c r="V14" s="56"/>
      <c r="W14" s="56"/>
    </row>
    <row r="15" spans="1:23">
      <c r="A15" s="56"/>
      <c r="B15" s="56"/>
      <c r="C15" s="56"/>
      <c r="D15" s="56"/>
      <c r="E15" s="56"/>
      <c r="F15" s="56"/>
      <c r="G15" s="56"/>
      <c r="H15" s="56"/>
      <c r="I15" s="56"/>
      <c r="J15" s="56"/>
      <c r="K15" s="56"/>
      <c r="L15" s="56"/>
      <c r="M15" s="56"/>
      <c r="N15" s="56"/>
      <c r="O15" s="56"/>
      <c r="P15" s="56"/>
      <c r="Q15" s="56"/>
      <c r="R15" s="56"/>
      <c r="S15" s="56"/>
      <c r="T15" s="56"/>
      <c r="U15" s="56"/>
      <c r="V15" s="56"/>
      <c r="W15" s="56"/>
    </row>
    <row r="16" spans="1:23">
      <c r="A16" s="56"/>
      <c r="B16" s="56"/>
      <c r="C16" s="56"/>
      <c r="D16" s="56"/>
      <c r="E16" s="56"/>
      <c r="F16" s="56"/>
      <c r="G16" s="56"/>
      <c r="H16" s="56"/>
      <c r="I16" s="56"/>
      <c r="J16" s="56"/>
      <c r="K16" s="56"/>
      <c r="L16" s="56"/>
      <c r="M16" s="56"/>
      <c r="N16" s="56"/>
      <c r="O16" s="56"/>
      <c r="P16" s="56"/>
      <c r="Q16" s="56"/>
      <c r="R16" s="56"/>
      <c r="S16" s="56"/>
      <c r="T16" s="56"/>
      <c r="U16" s="56"/>
      <c r="V16" s="56"/>
      <c r="W16" s="56"/>
    </row>
    <row r="17" spans="1:23">
      <c r="A17" s="56"/>
      <c r="B17" s="56"/>
      <c r="C17" s="56"/>
      <c r="D17" s="56"/>
      <c r="E17" s="56"/>
      <c r="F17" s="56"/>
      <c r="G17" s="56"/>
      <c r="H17" s="56"/>
      <c r="I17" s="56"/>
      <c r="J17" s="56"/>
      <c r="K17" s="56"/>
      <c r="L17" s="56"/>
      <c r="M17" s="56"/>
      <c r="N17" s="56"/>
      <c r="O17" s="56"/>
      <c r="P17" s="56"/>
      <c r="Q17" s="56"/>
      <c r="R17" s="56"/>
      <c r="S17" s="56"/>
      <c r="T17" s="56"/>
      <c r="U17" s="56"/>
      <c r="V17" s="56"/>
      <c r="W17" s="56"/>
    </row>
    <row r="18" spans="1:23">
      <c r="A18" s="56"/>
      <c r="B18" s="56"/>
      <c r="C18" s="56"/>
      <c r="D18" s="56"/>
      <c r="E18" s="56"/>
      <c r="F18" s="56"/>
      <c r="G18" s="56"/>
      <c r="H18" s="56"/>
      <c r="I18" s="56"/>
      <c r="J18" s="56"/>
      <c r="K18" s="56"/>
      <c r="L18" s="56"/>
      <c r="M18" s="56"/>
      <c r="N18" s="56"/>
      <c r="O18" s="56"/>
      <c r="P18" s="56"/>
      <c r="Q18" s="56"/>
      <c r="R18" s="56"/>
      <c r="S18" s="56"/>
      <c r="T18" s="56"/>
      <c r="U18" s="56"/>
      <c r="V18" s="56"/>
      <c r="W18" s="56"/>
    </row>
    <row r="19" spans="1:23">
      <c r="A19" s="56"/>
      <c r="B19" s="56"/>
      <c r="C19" s="56"/>
      <c r="D19" s="56"/>
      <c r="E19" s="56"/>
      <c r="F19" s="56"/>
      <c r="G19" s="56"/>
      <c r="H19" s="56"/>
      <c r="I19" s="56"/>
      <c r="J19" s="56"/>
      <c r="K19" s="56"/>
      <c r="L19" s="56"/>
      <c r="M19" s="56"/>
      <c r="N19" s="56"/>
      <c r="O19" s="56"/>
      <c r="P19" s="56"/>
      <c r="Q19" s="56"/>
      <c r="R19" s="56"/>
      <c r="S19" s="56"/>
      <c r="T19" s="56"/>
      <c r="U19" s="56"/>
      <c r="V19" s="56"/>
      <c r="W19" s="56"/>
    </row>
    <row r="20" spans="1:23">
      <c r="A20" s="56"/>
      <c r="B20" s="56"/>
      <c r="C20" s="56"/>
      <c r="D20" s="56"/>
      <c r="E20" s="56"/>
      <c r="F20" s="56"/>
      <c r="G20" s="56"/>
      <c r="H20" s="56"/>
      <c r="I20" s="56"/>
      <c r="J20" s="56"/>
      <c r="K20" s="56"/>
      <c r="L20" s="56"/>
      <c r="M20" s="56"/>
      <c r="N20" s="56"/>
      <c r="O20" s="56"/>
      <c r="P20" s="56"/>
      <c r="Q20" s="56"/>
      <c r="R20" s="56"/>
      <c r="S20" s="56"/>
      <c r="T20" s="56"/>
      <c r="U20" s="56"/>
      <c r="V20" s="56"/>
      <c r="W20" s="56"/>
    </row>
    <row r="21" spans="1:23">
      <c r="A21" s="56"/>
      <c r="B21" s="56"/>
      <c r="C21" s="56"/>
      <c r="D21" s="56"/>
      <c r="E21" s="56"/>
      <c r="F21" s="56"/>
      <c r="G21" s="56"/>
      <c r="H21" s="56"/>
      <c r="I21" s="56"/>
      <c r="J21" s="56"/>
      <c r="K21" s="56"/>
      <c r="L21" s="56"/>
      <c r="M21" s="56"/>
      <c r="N21" s="56"/>
      <c r="O21" s="56"/>
      <c r="P21" s="56"/>
      <c r="Q21" s="56"/>
      <c r="R21" s="56"/>
      <c r="S21" s="56"/>
      <c r="T21" s="56"/>
      <c r="U21" s="56"/>
      <c r="V21" s="56"/>
      <c r="W21" s="56"/>
    </row>
    <row r="22" spans="1:23">
      <c r="A22" s="56"/>
      <c r="B22" s="56"/>
      <c r="C22" s="56"/>
      <c r="D22" s="56"/>
      <c r="E22" s="56"/>
      <c r="F22" s="56"/>
      <c r="G22" s="56"/>
      <c r="H22" s="56"/>
      <c r="I22" s="56"/>
      <c r="J22" s="56"/>
      <c r="K22" s="56"/>
      <c r="L22" s="56"/>
      <c r="M22" s="56"/>
      <c r="N22" s="56"/>
      <c r="O22" s="56"/>
      <c r="P22" s="56"/>
      <c r="Q22" s="56"/>
      <c r="R22" s="56"/>
      <c r="S22" s="56"/>
      <c r="T22" s="56"/>
      <c r="U22" s="56"/>
      <c r="V22" s="56"/>
      <c r="W22" s="56"/>
    </row>
    <row r="23" spans="1:23">
      <c r="A23" s="56"/>
      <c r="B23" s="56"/>
      <c r="C23" s="56"/>
      <c r="D23" s="56"/>
      <c r="E23" s="56"/>
      <c r="F23" s="56"/>
      <c r="G23" s="56"/>
      <c r="H23" s="56"/>
      <c r="I23" s="56"/>
      <c r="J23" s="56"/>
      <c r="K23" s="56"/>
      <c r="L23" s="56"/>
      <c r="M23" s="56"/>
      <c r="N23" s="56"/>
      <c r="O23" s="56"/>
      <c r="P23" s="56"/>
      <c r="Q23" s="56"/>
      <c r="R23" s="56"/>
      <c r="S23" s="56"/>
      <c r="T23" s="56"/>
      <c r="U23" s="56"/>
      <c r="V23" s="56"/>
      <c r="W23" s="56"/>
    </row>
    <row r="24" spans="1:23">
      <c r="A24" s="56"/>
      <c r="B24" s="56"/>
      <c r="C24" s="56"/>
      <c r="D24" s="56"/>
      <c r="E24" s="56"/>
      <c r="F24" s="56"/>
      <c r="G24" s="56"/>
      <c r="H24" s="56"/>
      <c r="I24" s="56"/>
      <c r="J24" s="56"/>
      <c r="K24" s="56"/>
      <c r="L24" s="56"/>
      <c r="M24" s="56"/>
      <c r="N24" s="56"/>
      <c r="O24" s="56"/>
      <c r="P24" s="56"/>
      <c r="Q24" s="56"/>
      <c r="R24" s="56"/>
      <c r="S24" s="56"/>
      <c r="T24" s="56"/>
      <c r="U24" s="56"/>
      <c r="V24" s="56"/>
      <c r="W24" s="56"/>
    </row>
    <row r="25" spans="1:23">
      <c r="A25" s="56"/>
      <c r="B25" s="56"/>
      <c r="C25" s="56"/>
      <c r="D25" s="56"/>
      <c r="E25" s="56"/>
      <c r="F25" s="56"/>
      <c r="G25" s="56"/>
      <c r="H25" s="56"/>
      <c r="I25" s="56"/>
      <c r="J25" s="56"/>
      <c r="K25" s="56"/>
      <c r="L25" s="56"/>
      <c r="M25" s="56"/>
      <c r="N25" s="56"/>
      <c r="O25" s="56"/>
      <c r="P25" s="56"/>
      <c r="Q25" s="56"/>
      <c r="R25" s="56"/>
      <c r="S25" s="56"/>
      <c r="T25" s="56"/>
      <c r="U25" s="56"/>
      <c r="V25" s="56"/>
      <c r="W25" s="56"/>
    </row>
    <row r="26" spans="1:23">
      <c r="A26" s="56"/>
      <c r="B26" s="56"/>
      <c r="C26" s="56"/>
      <c r="D26" s="56"/>
      <c r="E26" s="56"/>
      <c r="F26" s="56"/>
      <c r="G26" s="56"/>
      <c r="H26" s="56"/>
      <c r="I26" s="56"/>
      <c r="J26" s="56"/>
      <c r="K26" s="56"/>
      <c r="L26" s="56"/>
      <c r="M26" s="56"/>
      <c r="N26" s="56"/>
      <c r="O26" s="56"/>
      <c r="P26" s="56"/>
      <c r="Q26" s="56"/>
      <c r="R26" s="56"/>
      <c r="S26" s="56"/>
      <c r="T26" s="56"/>
      <c r="U26" s="56"/>
      <c r="V26" s="56"/>
      <c r="W26" s="56"/>
    </row>
    <row r="27" spans="1:23">
      <c r="A27" s="56"/>
      <c r="B27" s="56"/>
      <c r="C27" s="56"/>
      <c r="D27" s="56"/>
      <c r="E27" s="56"/>
      <c r="F27" s="56"/>
      <c r="G27" s="56"/>
      <c r="H27" s="56"/>
      <c r="I27" s="56"/>
      <c r="J27" s="56"/>
      <c r="K27" s="56"/>
      <c r="L27" s="56"/>
      <c r="M27" s="56"/>
      <c r="N27" s="56"/>
      <c r="O27" s="56"/>
      <c r="P27" s="56"/>
      <c r="Q27" s="56"/>
      <c r="R27" s="56"/>
      <c r="S27" s="56"/>
      <c r="T27" s="56"/>
      <c r="U27" s="56"/>
      <c r="V27" s="56"/>
      <c r="W27" s="56"/>
    </row>
    <row r="28" spans="1:23">
      <c r="A28" s="56"/>
      <c r="B28" s="56"/>
      <c r="C28" s="56"/>
      <c r="D28" s="56"/>
      <c r="E28" s="56"/>
      <c r="F28" s="56"/>
      <c r="G28" s="56"/>
      <c r="H28" s="56"/>
      <c r="I28" s="56"/>
      <c r="J28" s="56"/>
      <c r="K28" s="56"/>
      <c r="L28" s="56"/>
      <c r="M28" s="56"/>
      <c r="N28" s="56"/>
      <c r="O28" s="56"/>
      <c r="P28" s="56"/>
      <c r="Q28" s="56"/>
      <c r="R28" s="56"/>
      <c r="S28" s="56"/>
      <c r="T28" s="56"/>
      <c r="U28" s="56"/>
      <c r="V28" s="56"/>
      <c r="W28" s="56"/>
    </row>
    <row r="29" spans="1:23">
      <c r="A29" s="56"/>
      <c r="B29" s="56"/>
      <c r="C29" s="56"/>
      <c r="D29" s="56"/>
      <c r="E29" s="56"/>
      <c r="F29" s="56"/>
      <c r="G29" s="56"/>
      <c r="H29" s="56"/>
      <c r="I29" s="56"/>
      <c r="J29" s="56"/>
      <c r="K29" s="56"/>
      <c r="L29" s="56"/>
      <c r="M29" s="56"/>
      <c r="N29" s="56"/>
      <c r="O29" s="56"/>
      <c r="P29" s="56"/>
      <c r="Q29" s="56"/>
      <c r="R29" s="56"/>
      <c r="S29" s="56"/>
      <c r="T29" s="56"/>
      <c r="U29" s="56"/>
      <c r="V29" s="56"/>
      <c r="W29" s="56"/>
    </row>
    <row r="30" spans="1:23">
      <c r="A30" s="56"/>
      <c r="B30" s="56"/>
      <c r="C30" s="56"/>
      <c r="D30" s="56"/>
      <c r="E30" s="56"/>
      <c r="F30" s="56"/>
      <c r="G30" s="56"/>
      <c r="H30" s="56"/>
      <c r="I30" s="56"/>
      <c r="J30" s="56"/>
      <c r="K30" s="56"/>
      <c r="L30" s="56"/>
      <c r="M30" s="56"/>
      <c r="N30" s="56"/>
      <c r="O30" s="56"/>
      <c r="P30" s="56"/>
      <c r="Q30" s="56"/>
      <c r="R30" s="56"/>
      <c r="S30" s="56"/>
      <c r="T30" s="56"/>
      <c r="U30" s="56"/>
      <c r="V30" s="56"/>
      <c r="W30" s="56"/>
    </row>
    <row r="31" spans="1:23">
      <c r="A31" s="56"/>
      <c r="B31" s="56"/>
      <c r="C31" s="56"/>
      <c r="D31" s="56"/>
      <c r="E31" s="56"/>
      <c r="F31" s="56"/>
      <c r="G31" s="56"/>
      <c r="H31" s="56"/>
      <c r="I31" s="56"/>
      <c r="J31" s="56"/>
      <c r="K31" s="56"/>
      <c r="L31" s="56"/>
      <c r="M31" s="56"/>
      <c r="N31" s="56"/>
      <c r="O31" s="56"/>
      <c r="P31" s="56"/>
      <c r="Q31" s="56"/>
      <c r="R31" s="56"/>
      <c r="S31" s="56"/>
      <c r="T31" s="56"/>
      <c r="U31" s="56"/>
      <c r="V31" s="56"/>
      <c r="W31" s="56"/>
    </row>
    <row r="32" spans="1:23">
      <c r="A32" s="56"/>
      <c r="B32" s="56"/>
      <c r="C32" s="56"/>
      <c r="D32" s="56"/>
      <c r="E32" s="56"/>
      <c r="F32" s="56"/>
      <c r="G32" s="56"/>
      <c r="H32" s="56"/>
      <c r="I32" s="56"/>
      <c r="J32" s="56"/>
      <c r="K32" s="56"/>
      <c r="L32" s="56"/>
      <c r="M32" s="56"/>
      <c r="N32" s="56"/>
      <c r="O32" s="56"/>
      <c r="P32" s="56"/>
      <c r="Q32" s="56"/>
      <c r="R32" s="56"/>
      <c r="S32" s="56"/>
      <c r="T32" s="56"/>
      <c r="U32" s="56"/>
      <c r="V32" s="56"/>
      <c r="W32" s="56"/>
    </row>
    <row r="33" spans="1:23">
      <c r="A33" s="56"/>
      <c r="B33" s="56"/>
      <c r="C33" s="56"/>
      <c r="D33" s="56"/>
      <c r="E33" s="56"/>
      <c r="F33" s="56"/>
      <c r="G33" s="56"/>
      <c r="H33" s="56"/>
      <c r="I33" s="56"/>
      <c r="J33" s="56"/>
      <c r="K33" s="56"/>
      <c r="L33" s="56"/>
      <c r="M33" s="56"/>
      <c r="N33" s="56"/>
      <c r="O33" s="56"/>
      <c r="P33" s="56"/>
      <c r="Q33" s="56"/>
      <c r="R33" s="56"/>
      <c r="S33" s="56"/>
      <c r="T33" s="56"/>
      <c r="U33" s="56"/>
      <c r="V33" s="56"/>
      <c r="W33" s="56"/>
    </row>
    <row r="34" spans="1:23">
      <c r="A34" s="56"/>
      <c r="B34" s="56"/>
      <c r="C34" s="56"/>
      <c r="D34" s="56"/>
      <c r="E34" s="56"/>
      <c r="F34" s="56"/>
      <c r="G34" s="56"/>
      <c r="H34" s="56"/>
      <c r="I34" s="56"/>
      <c r="J34" s="56"/>
      <c r="K34" s="56"/>
      <c r="L34" s="56"/>
      <c r="M34" s="56"/>
      <c r="N34" s="56"/>
      <c r="O34" s="56"/>
      <c r="P34" s="56"/>
      <c r="Q34" s="56"/>
      <c r="R34" s="56"/>
      <c r="S34" s="56"/>
      <c r="T34" s="56"/>
      <c r="U34" s="56"/>
      <c r="V34" s="56"/>
      <c r="W34" s="56"/>
    </row>
    <row r="35" spans="1:23">
      <c r="A35" s="56"/>
      <c r="B35" s="56"/>
      <c r="C35" s="56"/>
      <c r="D35" s="56"/>
      <c r="E35" s="56"/>
      <c r="F35" s="56"/>
      <c r="G35" s="56"/>
      <c r="H35" s="56"/>
      <c r="I35" s="56"/>
      <c r="J35" s="56"/>
      <c r="K35" s="56"/>
      <c r="L35" s="56"/>
      <c r="M35" s="56"/>
      <c r="N35" s="56"/>
      <c r="O35" s="56"/>
      <c r="P35" s="56"/>
      <c r="Q35" s="56"/>
      <c r="R35" s="56"/>
      <c r="S35" s="56"/>
      <c r="T35" s="56"/>
      <c r="U35" s="56"/>
      <c r="V35" s="56"/>
      <c r="W35" s="56"/>
    </row>
    <row r="36" spans="1:23">
      <c r="A36" s="56"/>
      <c r="B36" s="56"/>
      <c r="C36" s="56"/>
      <c r="D36" s="56"/>
      <c r="E36" s="56"/>
      <c r="F36" s="56"/>
      <c r="G36" s="56"/>
      <c r="H36" s="56"/>
      <c r="I36" s="56"/>
      <c r="J36" s="56"/>
      <c r="K36" s="56"/>
      <c r="L36" s="56"/>
      <c r="M36" s="56"/>
      <c r="N36" s="56"/>
      <c r="O36" s="56"/>
      <c r="P36" s="56"/>
      <c r="Q36" s="56"/>
      <c r="R36" s="56"/>
      <c r="S36" s="56"/>
      <c r="T36" s="56"/>
      <c r="U36" s="56"/>
      <c r="V36" s="56"/>
      <c r="W36" s="56"/>
    </row>
    <row r="37" spans="1:23">
      <c r="A37" s="57" t="s">
        <v>1</v>
      </c>
      <c r="B37" s="58"/>
      <c r="C37" s="58"/>
      <c r="D37" s="58"/>
      <c r="E37" s="58"/>
      <c r="F37" s="58"/>
      <c r="G37" s="59"/>
      <c r="H37" s="60" t="s">
        <v>2</v>
      </c>
      <c r="I37" s="61"/>
      <c r="J37" s="61"/>
      <c r="K37" s="61"/>
      <c r="L37" s="61"/>
      <c r="M37" s="61"/>
      <c r="N37" s="61"/>
      <c r="O37" s="61"/>
      <c r="P37" s="61"/>
    </row>
    <row r="38" spans="1:23">
      <c r="A38" s="58"/>
      <c r="B38" s="58"/>
      <c r="C38" s="58"/>
      <c r="D38" s="58"/>
      <c r="E38" s="58"/>
      <c r="F38" s="58"/>
      <c r="G38" s="59"/>
      <c r="H38" s="61"/>
      <c r="I38" s="61"/>
      <c r="J38" s="61"/>
      <c r="K38" s="61"/>
      <c r="L38" s="61"/>
      <c r="M38" s="61"/>
      <c r="N38" s="61"/>
      <c r="O38" s="61"/>
      <c r="P38" s="61"/>
    </row>
    <row r="39" spans="1:23">
      <c r="A39" s="58"/>
      <c r="B39" s="58"/>
      <c r="C39" s="58"/>
      <c r="D39" s="58"/>
      <c r="E39" s="58"/>
      <c r="F39" s="58"/>
      <c r="G39" s="59"/>
      <c r="H39" s="61"/>
      <c r="I39" s="61"/>
      <c r="J39" s="61"/>
      <c r="K39" s="61"/>
      <c r="L39" s="61"/>
      <c r="M39" s="61"/>
      <c r="N39" s="61"/>
      <c r="O39" s="61"/>
      <c r="P39" s="61"/>
    </row>
    <row r="40" spans="1:23">
      <c r="A40" s="58"/>
      <c r="B40" s="58"/>
      <c r="C40" s="58"/>
      <c r="D40" s="58"/>
      <c r="E40" s="58"/>
      <c r="F40" s="58"/>
      <c r="G40" s="59"/>
      <c r="H40" s="61"/>
      <c r="I40" s="61"/>
      <c r="J40" s="61"/>
      <c r="K40" s="61"/>
      <c r="L40" s="61"/>
      <c r="M40" s="61"/>
      <c r="N40" s="61"/>
      <c r="O40" s="61"/>
      <c r="P40" s="61"/>
    </row>
    <row r="41" spans="1:23">
      <c r="A41" s="58"/>
      <c r="B41" s="58"/>
      <c r="C41" s="58"/>
      <c r="D41" s="58"/>
      <c r="E41" s="58"/>
      <c r="F41" s="58"/>
      <c r="G41" s="59"/>
      <c r="H41" s="61"/>
      <c r="I41" s="61"/>
      <c r="J41" s="61"/>
      <c r="K41" s="61"/>
      <c r="L41" s="61"/>
      <c r="M41" s="61"/>
      <c r="N41" s="61"/>
      <c r="O41" s="61"/>
      <c r="P41" s="61"/>
    </row>
    <row r="42" spans="1:23">
      <c r="A42" s="58"/>
      <c r="B42" s="58"/>
      <c r="C42" s="58"/>
      <c r="D42" s="58"/>
      <c r="E42" s="58"/>
      <c r="F42" s="58"/>
      <c r="G42" s="59"/>
      <c r="H42" s="61"/>
      <c r="I42" s="61"/>
      <c r="J42" s="61"/>
      <c r="K42" s="61"/>
      <c r="L42" s="61"/>
      <c r="M42" s="61"/>
      <c r="N42" s="61"/>
      <c r="O42" s="61"/>
      <c r="P42" s="61"/>
    </row>
    <row r="43" spans="1:23">
      <c r="A43" s="58"/>
      <c r="B43" s="58"/>
      <c r="C43" s="58"/>
      <c r="D43" s="58"/>
      <c r="E43" s="58"/>
      <c r="F43" s="58"/>
      <c r="G43" s="59"/>
      <c r="H43" s="61"/>
      <c r="I43" s="61"/>
      <c r="J43" s="61"/>
      <c r="K43" s="61"/>
      <c r="L43" s="61"/>
      <c r="M43" s="61"/>
      <c r="N43" s="61"/>
      <c r="O43" s="61"/>
      <c r="P43" s="61"/>
    </row>
    <row r="44" spans="1:23">
      <c r="A44" s="58"/>
      <c r="B44" s="58"/>
      <c r="C44" s="58"/>
      <c r="D44" s="58"/>
      <c r="E44" s="58"/>
      <c r="F44" s="58"/>
      <c r="G44" s="59"/>
      <c r="H44" s="61"/>
      <c r="I44" s="61"/>
      <c r="J44" s="61"/>
      <c r="K44" s="61"/>
      <c r="L44" s="61"/>
      <c r="M44" s="61"/>
      <c r="N44" s="61"/>
      <c r="O44" s="61"/>
      <c r="P44" s="61"/>
    </row>
    <row r="45" spans="1:23">
      <c r="A45" s="58"/>
      <c r="B45" s="58"/>
      <c r="C45" s="58"/>
      <c r="D45" s="58"/>
      <c r="E45" s="58"/>
      <c r="F45" s="58"/>
      <c r="G45" s="59"/>
      <c r="H45" s="61"/>
      <c r="I45" s="61"/>
      <c r="J45" s="61"/>
      <c r="K45" s="61"/>
      <c r="L45" s="61"/>
      <c r="M45" s="61"/>
      <c r="N45" s="61"/>
      <c r="O45" s="61"/>
      <c r="P45" s="61"/>
    </row>
    <row r="46" spans="1:23">
      <c r="A46" s="58"/>
      <c r="B46" s="58"/>
      <c r="C46" s="58"/>
      <c r="D46" s="58"/>
      <c r="E46" s="58"/>
      <c r="F46" s="58"/>
      <c r="G46" s="59"/>
      <c r="H46" s="61"/>
      <c r="I46" s="61"/>
      <c r="J46" s="61"/>
      <c r="K46" s="61"/>
      <c r="L46" s="61"/>
      <c r="M46" s="61"/>
      <c r="N46" s="61"/>
      <c r="O46" s="61"/>
      <c r="P46" s="61"/>
    </row>
  </sheetData>
  <mergeCells count="3">
    <mergeCell ref="A5:W36"/>
    <mergeCell ref="A37:G46"/>
    <mergeCell ref="H37:P4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A6C86-C55C-4975-BCA1-C53861D6FCA6}">
  <dimension ref="A1:W8"/>
  <sheetViews>
    <sheetView workbookViewId="0">
      <selection activeCell="N17" sqref="N17"/>
    </sheetView>
  </sheetViews>
  <sheetFormatPr defaultColWidth="8.85546875" defaultRowHeight="15"/>
  <cols>
    <col min="3" max="3" width="8.28515625" customWidth="1"/>
    <col min="4" max="4" width="8.42578125" customWidth="1"/>
    <col min="5" max="7" width="9" customWidth="1"/>
    <col min="8" max="8" width="11.85546875" customWidth="1"/>
  </cols>
  <sheetData>
    <row r="1" spans="1:23">
      <c r="A1" s="62" t="s">
        <v>3</v>
      </c>
      <c r="B1" s="62"/>
      <c r="C1" s="62"/>
      <c r="D1" s="62"/>
      <c r="E1" s="62"/>
      <c r="F1" s="62"/>
      <c r="G1" s="62"/>
      <c r="H1" s="62"/>
      <c r="I1" s="62"/>
      <c r="J1" s="62"/>
      <c r="K1" s="62"/>
      <c r="L1" s="62"/>
      <c r="M1" s="62"/>
      <c r="N1" s="62"/>
      <c r="O1" s="62"/>
      <c r="P1" s="62"/>
      <c r="Q1" s="62"/>
      <c r="R1" s="62"/>
      <c r="S1" s="62"/>
      <c r="T1" s="62"/>
      <c r="U1" s="62"/>
      <c r="V1" s="62"/>
      <c r="W1" s="62"/>
    </row>
    <row r="2" spans="1:23">
      <c r="A2" s="62"/>
      <c r="B2" s="62"/>
      <c r="C2" s="62"/>
      <c r="D2" s="62"/>
      <c r="E2" s="62"/>
      <c r="F2" s="62"/>
      <c r="G2" s="62"/>
      <c r="H2" s="62"/>
      <c r="I2" s="62"/>
      <c r="J2" s="62"/>
      <c r="K2" s="62"/>
      <c r="L2" s="62"/>
      <c r="M2" s="62"/>
      <c r="N2" s="62"/>
      <c r="O2" s="62"/>
      <c r="P2" s="62"/>
      <c r="Q2" s="62"/>
      <c r="R2" s="62"/>
      <c r="S2" s="62"/>
      <c r="T2" s="62"/>
      <c r="U2" s="62"/>
      <c r="V2" s="62"/>
      <c r="W2" s="62"/>
    </row>
    <row r="3" spans="1:23">
      <c r="A3" s="62"/>
      <c r="B3" s="62"/>
      <c r="C3" s="62"/>
      <c r="D3" s="62"/>
      <c r="E3" s="62"/>
      <c r="F3" s="62"/>
      <c r="G3" s="62"/>
      <c r="H3" s="62"/>
      <c r="I3" s="62"/>
      <c r="J3" s="62"/>
      <c r="K3" s="62"/>
      <c r="L3" s="62"/>
      <c r="M3" s="62"/>
      <c r="N3" s="62"/>
      <c r="O3" s="62"/>
      <c r="P3" s="62"/>
      <c r="Q3" s="62"/>
      <c r="R3" s="62"/>
      <c r="S3" s="62"/>
      <c r="T3" s="62"/>
      <c r="U3" s="62"/>
      <c r="V3" s="62"/>
      <c r="W3" s="62"/>
    </row>
    <row r="4" spans="1:23">
      <c r="A4" s="62"/>
      <c r="B4" s="62"/>
      <c r="C4" s="62"/>
      <c r="D4" s="62"/>
      <c r="E4" s="62"/>
      <c r="F4" s="62"/>
      <c r="G4" s="62"/>
      <c r="H4" s="62"/>
      <c r="I4" s="62"/>
      <c r="J4" s="62"/>
      <c r="K4" s="62"/>
      <c r="L4" s="62"/>
      <c r="M4" s="62"/>
      <c r="N4" s="62"/>
      <c r="O4" s="62"/>
      <c r="P4" s="62"/>
      <c r="Q4" s="62"/>
      <c r="R4" s="62"/>
      <c r="S4" s="62"/>
      <c r="T4" s="62"/>
      <c r="U4" s="62"/>
      <c r="V4" s="62"/>
      <c r="W4" s="62"/>
    </row>
    <row r="5" spans="1:23">
      <c r="A5" s="62"/>
      <c r="B5" s="62"/>
      <c r="C5" s="62"/>
      <c r="D5" s="62"/>
      <c r="E5" s="62"/>
      <c r="F5" s="62"/>
      <c r="G5" s="62"/>
      <c r="H5" s="62"/>
      <c r="I5" s="62"/>
      <c r="J5" s="62"/>
      <c r="K5" s="62"/>
      <c r="L5" s="62"/>
      <c r="M5" s="62"/>
      <c r="N5" s="62"/>
      <c r="O5" s="62"/>
      <c r="P5" s="62"/>
      <c r="Q5" s="62"/>
      <c r="R5" s="62"/>
      <c r="S5" s="62"/>
      <c r="T5" s="62"/>
      <c r="U5" s="62"/>
      <c r="V5" s="62"/>
      <c r="W5" s="62"/>
    </row>
    <row r="6" spans="1:23">
      <c r="A6" s="62"/>
      <c r="B6" s="62"/>
      <c r="C6" s="62"/>
      <c r="D6" s="62"/>
      <c r="E6" s="62"/>
      <c r="F6" s="62"/>
      <c r="G6" s="62"/>
      <c r="H6" s="62"/>
      <c r="I6" s="62"/>
      <c r="J6" s="62"/>
      <c r="K6" s="62"/>
      <c r="L6" s="62"/>
      <c r="M6" s="62"/>
      <c r="N6" s="62"/>
      <c r="O6" s="62"/>
      <c r="P6" s="62"/>
      <c r="Q6" s="62"/>
      <c r="R6" s="62"/>
      <c r="S6" s="62"/>
      <c r="T6" s="62"/>
      <c r="U6" s="62"/>
      <c r="V6" s="62"/>
      <c r="W6" s="62"/>
    </row>
    <row r="7" spans="1:23">
      <c r="A7" s="62"/>
      <c r="B7" s="62"/>
      <c r="C7" s="62"/>
      <c r="D7" s="62"/>
      <c r="E7" s="62"/>
      <c r="F7" s="62"/>
      <c r="G7" s="62"/>
      <c r="H7" s="62"/>
      <c r="I7" s="62"/>
      <c r="J7" s="62"/>
      <c r="K7" s="62"/>
      <c r="L7" s="62"/>
      <c r="M7" s="62"/>
      <c r="N7" s="62"/>
      <c r="O7" s="62"/>
      <c r="P7" s="62"/>
      <c r="Q7" s="62"/>
      <c r="R7" s="62"/>
      <c r="S7" s="62"/>
      <c r="T7" s="62"/>
      <c r="U7" s="62"/>
      <c r="V7" s="62"/>
      <c r="W7" s="62"/>
    </row>
    <row r="8" spans="1:23">
      <c r="A8" s="62"/>
      <c r="B8" s="62"/>
      <c r="C8" s="62"/>
      <c r="D8" s="62"/>
      <c r="E8" s="62"/>
      <c r="F8" s="62"/>
      <c r="G8" s="62"/>
      <c r="H8" s="62"/>
      <c r="I8" s="62"/>
      <c r="J8" s="62"/>
      <c r="K8" s="62"/>
      <c r="L8" s="62"/>
      <c r="M8" s="62"/>
      <c r="N8" s="62"/>
      <c r="O8" s="62"/>
      <c r="P8" s="62"/>
      <c r="Q8" s="62"/>
      <c r="R8" s="62"/>
      <c r="S8" s="62"/>
      <c r="T8" s="62"/>
      <c r="U8" s="62"/>
      <c r="V8" s="62"/>
      <c r="W8" s="62"/>
    </row>
  </sheetData>
  <mergeCells count="1">
    <mergeCell ref="A1:W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0D3B5-F2B7-4788-B7B8-7E0EDB98A273}">
  <dimension ref="B3:H195"/>
  <sheetViews>
    <sheetView topLeftCell="A38" workbookViewId="0">
      <selection activeCell="A56" sqref="A56"/>
    </sheetView>
  </sheetViews>
  <sheetFormatPr defaultColWidth="8.85546875" defaultRowHeight="15"/>
  <cols>
    <col min="2" max="2" width="17.28515625" customWidth="1"/>
    <col min="3" max="3" width="65.7109375" customWidth="1"/>
    <col min="4" max="4" width="24.42578125" customWidth="1"/>
    <col min="5" max="5" width="19" customWidth="1"/>
    <col min="6" max="6" width="18.140625" customWidth="1"/>
    <col min="7" max="7" width="16.7109375" customWidth="1"/>
    <col min="8" max="8" width="19.85546875" customWidth="1"/>
    <col min="9" max="9" width="17" customWidth="1"/>
    <col min="11" max="11" width="21.42578125" customWidth="1"/>
  </cols>
  <sheetData>
    <row r="3" spans="2:8">
      <c r="C3" s="65" t="s">
        <v>4</v>
      </c>
      <c r="D3" s="65" t="s">
        <v>5</v>
      </c>
      <c r="E3" s="65" t="s">
        <v>6</v>
      </c>
      <c r="F3" s="65" t="s">
        <v>7</v>
      </c>
      <c r="H3" s="63" t="s">
        <v>8</v>
      </c>
    </row>
    <row r="4" spans="2:8">
      <c r="B4" s="1"/>
      <c r="C4" s="66"/>
      <c r="D4" s="66"/>
      <c r="E4" s="66"/>
      <c r="F4" s="66"/>
      <c r="H4" s="64"/>
    </row>
    <row r="5" spans="2:8">
      <c r="B5" s="1"/>
      <c r="C5" s="17" t="s">
        <v>9</v>
      </c>
      <c r="D5" s="18">
        <v>31211271.84</v>
      </c>
      <c r="E5" s="18">
        <v>30390473.620000001</v>
      </c>
      <c r="F5" s="18">
        <f>'RZIS &amp; CASHFLOW &amp; BILANS'!D84*2*100</f>
        <v>-404176910</v>
      </c>
      <c r="H5" s="18">
        <v>27305927.82</v>
      </c>
    </row>
    <row r="6" spans="2:8">
      <c r="C6" s="11" t="s">
        <v>10</v>
      </c>
      <c r="D6" s="14">
        <v>184193.99</v>
      </c>
      <c r="E6" s="14">
        <v>184193.99</v>
      </c>
      <c r="F6" s="14">
        <v>184193.99</v>
      </c>
      <c r="H6" s="14">
        <v>184193.99</v>
      </c>
    </row>
    <row r="7" spans="2:8">
      <c r="C7" s="11" t="s">
        <v>11</v>
      </c>
      <c r="D7" s="14">
        <v>4446486.45</v>
      </c>
      <c r="E7" s="14">
        <v>4406627.9400000004</v>
      </c>
      <c r="F7" s="14">
        <v>8500781.1699999999</v>
      </c>
      <c r="H7" s="14">
        <v>2266616.3199999998</v>
      </c>
    </row>
    <row r="8" spans="2:8">
      <c r="C8" s="11" t="s">
        <v>12</v>
      </c>
      <c r="D8" s="14">
        <v>16237944.02</v>
      </c>
      <c r="E8" s="14">
        <v>15044999.039999999</v>
      </c>
      <c r="F8" s="14">
        <v>14156554.890000001</v>
      </c>
      <c r="H8" s="14">
        <v>16531623.4</v>
      </c>
    </row>
    <row r="9" spans="2:8">
      <c r="C9" s="11" t="s">
        <v>13</v>
      </c>
      <c r="D9" s="14" t="s">
        <v>14</v>
      </c>
      <c r="E9" s="14" t="s">
        <v>15</v>
      </c>
      <c r="F9" s="14" t="s">
        <v>15</v>
      </c>
      <c r="H9" s="14" t="s">
        <v>16</v>
      </c>
    </row>
    <row r="10" spans="2:8">
      <c r="C10" s="11" t="s">
        <v>17</v>
      </c>
      <c r="D10" s="14">
        <v>42602.34</v>
      </c>
      <c r="E10" s="14">
        <v>881125.73</v>
      </c>
      <c r="F10" s="14">
        <v>410947.73</v>
      </c>
      <c r="H10" s="14" t="s">
        <v>16</v>
      </c>
    </row>
    <row r="11" spans="2:8">
      <c r="C11" s="11" t="s">
        <v>18</v>
      </c>
      <c r="D11" s="14">
        <v>8376521</v>
      </c>
      <c r="E11" s="14">
        <v>8498239</v>
      </c>
      <c r="F11" s="14">
        <v>0</v>
      </c>
      <c r="H11" s="14">
        <v>7399448.3399999999</v>
      </c>
    </row>
    <row r="12" spans="2:8">
      <c r="C12" s="11" t="s">
        <v>19</v>
      </c>
      <c r="D12" s="14">
        <v>400000</v>
      </c>
      <c r="E12" s="14">
        <v>400000</v>
      </c>
      <c r="F12" s="14">
        <v>400000</v>
      </c>
      <c r="H12" s="14">
        <v>400000</v>
      </c>
    </row>
    <row r="13" spans="2:8">
      <c r="C13" s="11" t="s">
        <v>20</v>
      </c>
      <c r="D13" s="14">
        <v>1523524.04</v>
      </c>
      <c r="E13" s="14">
        <v>975287.92</v>
      </c>
      <c r="F13" s="14">
        <v>657728.27</v>
      </c>
      <c r="H13" s="14">
        <v>524045.77</v>
      </c>
    </row>
    <row r="14" spans="2:8">
      <c r="C14" s="11" t="s">
        <v>21</v>
      </c>
      <c r="D14" s="14" t="s">
        <v>14</v>
      </c>
      <c r="E14" s="14" t="s">
        <v>15</v>
      </c>
      <c r="F14" s="14" t="s">
        <v>15</v>
      </c>
      <c r="H14" s="14" t="s">
        <v>16</v>
      </c>
    </row>
    <row r="15" spans="2:8">
      <c r="C15" s="10" t="s">
        <v>22</v>
      </c>
      <c r="D15" s="19">
        <v>40951219.5</v>
      </c>
      <c r="E15" s="19">
        <v>41135074.109999999</v>
      </c>
      <c r="F15" s="19">
        <v>27995585.48</v>
      </c>
      <c r="H15" s="19">
        <v>60400462.079999998</v>
      </c>
    </row>
    <row r="16" spans="2:8">
      <c r="C16" s="11" t="s">
        <v>23</v>
      </c>
      <c r="D16" s="14">
        <v>2912656.06</v>
      </c>
      <c r="E16" s="14">
        <v>1535369.12</v>
      </c>
      <c r="F16" s="14">
        <v>1522500.1</v>
      </c>
      <c r="H16" s="14">
        <v>1632443.91</v>
      </c>
    </row>
    <row r="17" spans="3:8">
      <c r="C17" s="11" t="s">
        <v>24</v>
      </c>
      <c r="D17" s="14">
        <v>18142687.780000001</v>
      </c>
      <c r="E17" s="14">
        <v>12390084.43</v>
      </c>
      <c r="F17" s="14">
        <v>14492915.52</v>
      </c>
      <c r="H17" s="14">
        <v>22301077.82</v>
      </c>
    </row>
    <row r="18" spans="3:8">
      <c r="C18" s="11" t="s">
        <v>25</v>
      </c>
      <c r="D18" s="14">
        <v>3124218.41</v>
      </c>
      <c r="E18" s="14">
        <v>2267227.17</v>
      </c>
      <c r="F18" s="14">
        <v>3207419.33</v>
      </c>
      <c r="H18" s="14">
        <v>2146567.73</v>
      </c>
    </row>
    <row r="19" spans="3:8">
      <c r="C19" s="11" t="s">
        <v>26</v>
      </c>
      <c r="D19" s="14">
        <v>116295</v>
      </c>
      <c r="E19" s="14">
        <v>57104.25</v>
      </c>
      <c r="F19" s="14">
        <v>363887.9</v>
      </c>
      <c r="H19" s="14">
        <v>50942.75</v>
      </c>
    </row>
    <row r="20" spans="3:8">
      <c r="C20" s="11" t="s">
        <v>27</v>
      </c>
      <c r="D20" s="14" t="s">
        <v>14</v>
      </c>
      <c r="E20" s="14" t="s">
        <v>15</v>
      </c>
      <c r="F20" s="14" t="s">
        <v>15</v>
      </c>
      <c r="H20" s="14">
        <v>281351</v>
      </c>
    </row>
    <row r="21" spans="3:8">
      <c r="C21" s="11" t="s">
        <v>28</v>
      </c>
      <c r="D21" s="14">
        <v>277813.45</v>
      </c>
      <c r="E21" s="14">
        <v>271073</v>
      </c>
      <c r="F21" s="14">
        <v>203760.13</v>
      </c>
      <c r="H21" s="14">
        <v>244930.78</v>
      </c>
    </row>
    <row r="22" spans="3:8">
      <c r="C22" s="11" t="s">
        <v>19</v>
      </c>
      <c r="D22" s="14">
        <v>12281000</v>
      </c>
      <c r="E22" s="14">
        <v>4652656.05</v>
      </c>
      <c r="F22" s="14">
        <v>0</v>
      </c>
      <c r="H22" s="14">
        <v>30000000</v>
      </c>
    </row>
    <row r="23" spans="3:8">
      <c r="C23" s="11" t="s">
        <v>29</v>
      </c>
      <c r="D23" s="14">
        <v>3517219.95</v>
      </c>
      <c r="E23" s="14">
        <v>19392444.190000001</v>
      </c>
      <c r="F23" s="14">
        <v>7518226.29</v>
      </c>
      <c r="H23" s="14">
        <v>3406348.64</v>
      </c>
    </row>
    <row r="24" spans="3:8">
      <c r="C24" s="11" t="s">
        <v>30</v>
      </c>
      <c r="D24" s="14">
        <v>579328.85</v>
      </c>
      <c r="E24" s="14">
        <v>569115.9</v>
      </c>
      <c r="F24" s="14">
        <v>686876.21</v>
      </c>
      <c r="H24" s="14">
        <v>336799.45</v>
      </c>
    </row>
    <row r="25" spans="3:8">
      <c r="C25" s="10" t="s">
        <v>31</v>
      </c>
      <c r="D25" s="19" t="s">
        <v>14</v>
      </c>
      <c r="E25" s="19" t="s">
        <v>15</v>
      </c>
      <c r="F25" s="19" t="s">
        <v>15</v>
      </c>
      <c r="H25" s="19" t="s">
        <v>16</v>
      </c>
    </row>
    <row r="26" spans="3:8">
      <c r="C26" s="11" t="s">
        <v>32</v>
      </c>
      <c r="D26" s="14">
        <v>72162491.340000004</v>
      </c>
      <c r="E26" s="14">
        <v>71525547.730000004</v>
      </c>
      <c r="F26" s="14">
        <v>52305791.530000001</v>
      </c>
      <c r="H26" s="14">
        <v>87706389.900000006</v>
      </c>
    </row>
    <row r="30" spans="3:8">
      <c r="C30" s="65" t="s">
        <v>33</v>
      </c>
      <c r="D30" s="65">
        <v>2022</v>
      </c>
      <c r="E30" s="65">
        <v>2023</v>
      </c>
      <c r="F30" s="65">
        <v>2024</v>
      </c>
    </row>
    <row r="31" spans="3:8">
      <c r="C31" s="66"/>
      <c r="D31" s="66"/>
      <c r="E31" s="66"/>
      <c r="F31" s="66"/>
    </row>
    <row r="32" spans="3:8">
      <c r="C32" s="17" t="s">
        <v>34</v>
      </c>
      <c r="D32" s="18">
        <v>47711737.880000003</v>
      </c>
      <c r="E32" s="18">
        <v>47948668.590000004</v>
      </c>
      <c r="F32" s="18">
        <v>30865441.73</v>
      </c>
    </row>
    <row r="33" spans="2:6">
      <c r="B33" s="2"/>
      <c r="C33" s="11" t="s">
        <v>35</v>
      </c>
      <c r="D33" s="14">
        <v>787150</v>
      </c>
      <c r="E33" s="14">
        <v>787150</v>
      </c>
      <c r="F33" s="14">
        <v>787150</v>
      </c>
    </row>
    <row r="34" spans="2:6">
      <c r="C34" s="11" t="s">
        <v>36</v>
      </c>
      <c r="D34" s="14">
        <v>-1095.46</v>
      </c>
      <c r="E34" s="14">
        <v>-1095.46</v>
      </c>
      <c r="F34" s="14">
        <v>-1095.46</v>
      </c>
    </row>
    <row r="35" spans="2:6">
      <c r="C35" s="11" t="s">
        <v>37</v>
      </c>
      <c r="D35" s="14">
        <v>47965951.729999997</v>
      </c>
      <c r="E35" s="14">
        <v>45945067.18</v>
      </c>
      <c r="F35" s="14">
        <v>39357659.82</v>
      </c>
    </row>
    <row r="36" spans="2:6">
      <c r="C36" s="11" t="s">
        <v>38</v>
      </c>
      <c r="D36" s="14">
        <v>980616.16</v>
      </c>
      <c r="E36" s="14">
        <v>980616.16</v>
      </c>
      <c r="F36" s="14">
        <v>980616.16</v>
      </c>
    </row>
    <row r="37" spans="2:6">
      <c r="C37" s="11" t="s">
        <v>39</v>
      </c>
      <c r="D37" s="14" t="s">
        <v>15</v>
      </c>
      <c r="E37" s="14" t="s">
        <v>15</v>
      </c>
      <c r="F37" s="14" t="s">
        <v>15</v>
      </c>
    </row>
    <row r="38" spans="2:6">
      <c r="C38" s="11" t="s">
        <v>40</v>
      </c>
      <c r="D38" s="14">
        <v>-2020884.55</v>
      </c>
      <c r="E38" s="14">
        <v>236930.71</v>
      </c>
      <c r="F38" s="14">
        <v>-10258888.789999999</v>
      </c>
    </row>
    <row r="39" spans="2:6">
      <c r="C39" s="11" t="s">
        <v>41</v>
      </c>
      <c r="D39" s="14" t="s">
        <v>15</v>
      </c>
      <c r="E39" s="14" t="s">
        <v>15</v>
      </c>
      <c r="F39" s="14" t="s">
        <v>15</v>
      </c>
    </row>
    <row r="40" spans="2:6">
      <c r="C40" s="10" t="s">
        <v>42</v>
      </c>
      <c r="D40" s="19">
        <v>5962098.0099999998</v>
      </c>
      <c r="E40" s="19">
        <v>5704757.4299999997</v>
      </c>
      <c r="F40" s="19">
        <v>5385566.9699999997</v>
      </c>
    </row>
    <row r="41" spans="2:6">
      <c r="C41" s="11" t="s">
        <v>43</v>
      </c>
      <c r="D41" s="14" t="s">
        <v>15</v>
      </c>
      <c r="E41" s="14" t="s">
        <v>15</v>
      </c>
      <c r="F41" s="14" t="s">
        <v>15</v>
      </c>
    </row>
    <row r="42" spans="2:6">
      <c r="C42" s="11" t="s">
        <v>44</v>
      </c>
      <c r="D42" s="14">
        <v>17880.63</v>
      </c>
      <c r="E42" s="14" t="s">
        <v>15</v>
      </c>
      <c r="F42" s="14" t="s">
        <v>15</v>
      </c>
    </row>
    <row r="43" spans="2:6">
      <c r="C43" s="11" t="s">
        <v>45</v>
      </c>
      <c r="D43" s="14" t="s">
        <v>15</v>
      </c>
      <c r="E43" s="14" t="s">
        <v>15</v>
      </c>
      <c r="F43" s="14" t="s">
        <v>15</v>
      </c>
    </row>
    <row r="44" spans="2:6">
      <c r="C44" s="11" t="s">
        <v>46</v>
      </c>
      <c r="D44" s="14" t="s">
        <v>15</v>
      </c>
      <c r="E44" s="14" t="s">
        <v>15</v>
      </c>
      <c r="F44" s="14">
        <v>7195.5</v>
      </c>
    </row>
    <row r="45" spans="2:6">
      <c r="C45" s="11" t="s">
        <v>47</v>
      </c>
      <c r="D45" s="14">
        <v>780401.37</v>
      </c>
      <c r="E45" s="14">
        <v>757129.71</v>
      </c>
      <c r="F45" s="14">
        <v>852925.93</v>
      </c>
    </row>
    <row r="46" spans="2:6">
      <c r="C46" s="11" t="s">
        <v>48</v>
      </c>
      <c r="D46" s="14">
        <v>112389.85</v>
      </c>
      <c r="E46" s="14">
        <v>140058</v>
      </c>
      <c r="F46" s="14">
        <v>150382</v>
      </c>
    </row>
    <row r="47" spans="2:6">
      <c r="C47" s="11" t="s">
        <v>49</v>
      </c>
      <c r="D47" s="14">
        <v>5051426.16</v>
      </c>
      <c r="E47" s="14">
        <v>4807569.72</v>
      </c>
      <c r="F47" s="14">
        <v>4375063.54</v>
      </c>
    </row>
    <row r="48" spans="2:6">
      <c r="C48" s="10" t="s">
        <v>50</v>
      </c>
      <c r="D48" s="19">
        <v>18488655.449999999</v>
      </c>
      <c r="E48" s="19">
        <v>17872121.710000001</v>
      </c>
      <c r="F48" s="19">
        <v>16054782.83</v>
      </c>
    </row>
    <row r="49" spans="2:6">
      <c r="C49" s="11" t="s">
        <v>43</v>
      </c>
      <c r="D49" s="14">
        <v>437500.12</v>
      </c>
      <c r="E49" s="14" t="s">
        <v>15</v>
      </c>
      <c r="F49" s="14" t="s">
        <v>15</v>
      </c>
    </row>
    <row r="50" spans="2:6">
      <c r="C50" s="11" t="s">
        <v>44</v>
      </c>
      <c r="D50" s="14">
        <v>16307.69</v>
      </c>
      <c r="E50" s="14">
        <v>3526.04</v>
      </c>
      <c r="F50" s="14">
        <v>62472.58</v>
      </c>
    </row>
    <row r="51" spans="2:6">
      <c r="C51" s="11" t="s">
        <v>45</v>
      </c>
      <c r="D51" s="14">
        <v>11353399.48</v>
      </c>
      <c r="E51" s="14">
        <v>8771943.8900000006</v>
      </c>
      <c r="F51" s="14">
        <v>9246037.0500000007</v>
      </c>
    </row>
    <row r="52" spans="2:6">
      <c r="C52" s="11" t="s">
        <v>51</v>
      </c>
      <c r="D52" s="14">
        <v>2349150.94</v>
      </c>
      <c r="E52" s="14">
        <v>2628587.9900000002</v>
      </c>
      <c r="F52" s="14">
        <v>1911814.85</v>
      </c>
    </row>
    <row r="53" spans="2:6">
      <c r="C53" s="11" t="s">
        <v>52</v>
      </c>
      <c r="D53" s="14" t="s">
        <v>15</v>
      </c>
      <c r="E53" s="14" t="s">
        <v>15</v>
      </c>
      <c r="F53" s="14" t="s">
        <v>15</v>
      </c>
    </row>
    <row r="54" spans="2:6">
      <c r="C54" s="11" t="s">
        <v>53</v>
      </c>
      <c r="D54" s="14">
        <v>3094372.94</v>
      </c>
      <c r="E54" s="14">
        <v>4494376.21</v>
      </c>
      <c r="F54" s="14">
        <v>3490225.21</v>
      </c>
    </row>
    <row r="55" spans="2:6">
      <c r="C55" s="11" t="s">
        <v>54</v>
      </c>
      <c r="D55" s="14">
        <v>872188.49</v>
      </c>
      <c r="E55" s="14">
        <v>1531339.02</v>
      </c>
      <c r="F55" s="14">
        <v>919061.72</v>
      </c>
    </row>
    <row r="56" spans="2:6">
      <c r="C56" s="11" t="s">
        <v>55</v>
      </c>
      <c r="D56" s="14">
        <v>365735.79</v>
      </c>
      <c r="E56" s="14">
        <v>442348.56</v>
      </c>
      <c r="F56" s="14">
        <v>425171.42</v>
      </c>
    </row>
    <row r="57" spans="2:6">
      <c r="C57" s="10" t="s">
        <v>56</v>
      </c>
      <c r="D57" s="19">
        <v>72162491.340000004</v>
      </c>
      <c r="E57" s="19">
        <v>71525547.730000004</v>
      </c>
      <c r="F57" s="19">
        <v>52305791.530000001</v>
      </c>
    </row>
    <row r="61" spans="2:6" ht="32.25" customHeight="1">
      <c r="B61" s="5"/>
      <c r="C61" s="65" t="s">
        <v>57</v>
      </c>
      <c r="D61" s="65">
        <v>2022</v>
      </c>
      <c r="E61" s="65">
        <v>2023</v>
      </c>
      <c r="F61" s="65">
        <v>2024</v>
      </c>
    </row>
    <row r="62" spans="2:6">
      <c r="B62" s="2"/>
      <c r="C62" s="66" t="s">
        <v>58</v>
      </c>
      <c r="D62" s="66"/>
      <c r="E62" s="66"/>
      <c r="F62" s="66"/>
    </row>
    <row r="63" spans="2:6">
      <c r="B63" s="2"/>
      <c r="C63" s="17" t="s">
        <v>59</v>
      </c>
      <c r="D63" s="18">
        <v>85736590.790000007</v>
      </c>
      <c r="E63" s="18">
        <v>90843656.659999996</v>
      </c>
      <c r="F63" s="18">
        <v>70301360.450000003</v>
      </c>
    </row>
    <row r="64" spans="2:6">
      <c r="B64" s="2"/>
      <c r="C64" s="11" t="s">
        <v>60</v>
      </c>
      <c r="D64" s="14">
        <v>37037834.539999999</v>
      </c>
      <c r="E64" s="14">
        <v>37606721.259999998</v>
      </c>
      <c r="F64" s="14">
        <v>27948525.41</v>
      </c>
    </row>
    <row r="65" spans="2:6">
      <c r="B65" s="2"/>
      <c r="C65" s="11" t="s">
        <v>61</v>
      </c>
      <c r="D65" s="14">
        <v>48698756.25</v>
      </c>
      <c r="E65" s="14">
        <v>53236935.399999999</v>
      </c>
      <c r="F65" s="14">
        <v>42352835.039999999</v>
      </c>
    </row>
    <row r="66" spans="2:6">
      <c r="B66" s="2"/>
      <c r="C66" s="10" t="s">
        <v>62</v>
      </c>
      <c r="D66" s="19">
        <v>67645019.200000003</v>
      </c>
      <c r="E66" s="19">
        <v>67625893.180000007</v>
      </c>
      <c r="F66" s="19">
        <v>57682822.090000004</v>
      </c>
    </row>
    <row r="67" spans="2:6">
      <c r="B67" s="2"/>
      <c r="C67" s="11" t="s">
        <v>63</v>
      </c>
      <c r="D67" s="14">
        <v>28317185.960000001</v>
      </c>
      <c r="E67" s="14">
        <v>25716203.620000001</v>
      </c>
      <c r="F67" s="14">
        <v>24168092.5</v>
      </c>
    </row>
    <row r="68" spans="2:6">
      <c r="B68" s="5"/>
      <c r="C68" s="11" t="s">
        <v>64</v>
      </c>
      <c r="D68" s="14">
        <v>39327833.240000002</v>
      </c>
      <c r="E68" s="14">
        <v>41909689.560000002</v>
      </c>
      <c r="F68" s="14">
        <v>33514729.59</v>
      </c>
    </row>
    <row r="69" spans="2:6">
      <c r="B69" s="5"/>
      <c r="C69" s="10" t="s">
        <v>65</v>
      </c>
      <c r="D69" s="19">
        <v>18091571.59</v>
      </c>
      <c r="E69" s="19">
        <v>23217763.48</v>
      </c>
      <c r="F69" s="19">
        <v>12618538.359999999</v>
      </c>
    </row>
    <row r="70" spans="2:6">
      <c r="B70" s="4"/>
      <c r="C70" s="11" t="s">
        <v>66</v>
      </c>
      <c r="D70" s="14">
        <v>12083843.57</v>
      </c>
      <c r="E70" s="14">
        <v>15906492.720000001</v>
      </c>
      <c r="F70" s="14">
        <v>16323370.470000001</v>
      </c>
    </row>
    <row r="71" spans="2:6">
      <c r="B71" s="4"/>
      <c r="C71" s="11" t="s">
        <v>67</v>
      </c>
      <c r="D71" s="14">
        <v>5990086.8700000001</v>
      </c>
      <c r="E71" s="14">
        <v>7131351.4299999997</v>
      </c>
      <c r="F71" s="14">
        <v>7712893.1399999997</v>
      </c>
    </row>
    <row r="72" spans="2:6">
      <c r="B72" s="3"/>
      <c r="C72" s="10" t="s">
        <v>68</v>
      </c>
      <c r="D72" s="19">
        <v>17641.150000000001</v>
      </c>
      <c r="E72" s="19">
        <v>179919.33</v>
      </c>
      <c r="F72" s="19">
        <v>-11417725.25</v>
      </c>
    </row>
    <row r="73" spans="2:6">
      <c r="B73" s="6"/>
      <c r="C73" s="11" t="s">
        <v>69</v>
      </c>
      <c r="D73" s="14">
        <v>516648.39</v>
      </c>
      <c r="E73" s="14">
        <v>661748.6</v>
      </c>
      <c r="F73" s="14">
        <v>790411.1</v>
      </c>
    </row>
    <row r="74" spans="2:6">
      <c r="B74" s="6"/>
      <c r="C74" s="11" t="s">
        <v>70</v>
      </c>
      <c r="D74" s="14">
        <v>374932.66</v>
      </c>
      <c r="E74" s="14">
        <v>352808.11</v>
      </c>
      <c r="F74" s="14">
        <v>326715.96000000002</v>
      </c>
    </row>
    <row r="75" spans="2:6">
      <c r="B75" s="3"/>
      <c r="C75" s="10" t="s">
        <v>71</v>
      </c>
      <c r="D75" s="19">
        <v>159356.88</v>
      </c>
      <c r="E75" s="19">
        <v>488859.82</v>
      </c>
      <c r="F75" s="19">
        <v>-10954030.109999999</v>
      </c>
    </row>
    <row r="76" spans="2:6">
      <c r="B76" s="6"/>
      <c r="C76" s="11" t="s">
        <v>72</v>
      </c>
      <c r="D76" s="14">
        <v>800524.02</v>
      </c>
      <c r="E76" s="14">
        <v>917280.61</v>
      </c>
      <c r="F76" s="14">
        <v>1161814.6399999999</v>
      </c>
    </row>
    <row r="77" spans="2:6">
      <c r="B77" s="6"/>
      <c r="C77" s="21" t="s">
        <v>73</v>
      </c>
      <c r="D77" s="14">
        <v>3560674.74</v>
      </c>
      <c r="E77" s="14">
        <v>300042.26</v>
      </c>
      <c r="F77" s="14">
        <v>41177.019999999997</v>
      </c>
    </row>
    <row r="78" spans="2:6">
      <c r="B78" s="5"/>
      <c r="C78" s="11" t="s">
        <v>74</v>
      </c>
      <c r="D78" s="20">
        <v>0</v>
      </c>
      <c r="E78" s="14">
        <v>0</v>
      </c>
      <c r="F78" s="14">
        <v>0</v>
      </c>
    </row>
    <row r="79" spans="2:6">
      <c r="B79" s="4"/>
      <c r="C79" s="22" t="s">
        <v>75</v>
      </c>
      <c r="D79" s="19">
        <v>-2600793.84</v>
      </c>
      <c r="E79" s="19">
        <v>1106098.17</v>
      </c>
      <c r="F79" s="19">
        <v>-9833392.4900000002</v>
      </c>
    </row>
    <row r="80" spans="2:6">
      <c r="B80" s="4"/>
      <c r="C80" s="11" t="s">
        <v>76</v>
      </c>
      <c r="D80" s="14">
        <v>-579909.29</v>
      </c>
      <c r="E80" s="14">
        <v>869167.46</v>
      </c>
      <c r="F80" s="14">
        <v>425496.3</v>
      </c>
    </row>
    <row r="81" spans="2:6">
      <c r="B81" s="3"/>
      <c r="C81" s="10" t="s">
        <v>77</v>
      </c>
      <c r="D81" s="19">
        <v>-2020884.55</v>
      </c>
      <c r="E81" s="19">
        <v>236930.71</v>
      </c>
      <c r="F81" s="19">
        <v>-10258888.789999999</v>
      </c>
    </row>
    <row r="82" spans="2:6">
      <c r="B82" s="6"/>
      <c r="C82" s="10" t="s">
        <v>78</v>
      </c>
      <c r="D82" s="19">
        <v>0</v>
      </c>
      <c r="E82" s="19">
        <v>0</v>
      </c>
      <c r="F82" s="19">
        <v>0</v>
      </c>
    </row>
    <row r="83" spans="2:6">
      <c r="B83" s="6"/>
      <c r="C83" s="11" t="s">
        <v>79</v>
      </c>
      <c r="D83" s="14">
        <v>0</v>
      </c>
      <c r="E83" s="14">
        <v>0</v>
      </c>
      <c r="F83" s="14">
        <v>0</v>
      </c>
    </row>
    <row r="84" spans="2:6">
      <c r="B84" s="3"/>
      <c r="C84" s="10" t="s">
        <v>80</v>
      </c>
      <c r="D84" s="19">
        <v>-2020884.55</v>
      </c>
      <c r="E84" s="19">
        <v>236930.71</v>
      </c>
      <c r="F84" s="19">
        <v>-10258888.789999999</v>
      </c>
    </row>
    <row r="85" spans="2:6">
      <c r="B85" s="6"/>
      <c r="D85" s="16"/>
    </row>
    <row r="86" spans="2:6">
      <c r="B86" s="6"/>
      <c r="D86" s="16"/>
      <c r="E86" s="1"/>
    </row>
    <row r="87" spans="2:6">
      <c r="B87" s="5"/>
      <c r="D87" s="15"/>
      <c r="E87" s="1"/>
    </row>
    <row r="88" spans="2:6">
      <c r="B88" s="4"/>
      <c r="C88" s="67" t="s">
        <v>81</v>
      </c>
      <c r="D88" s="67">
        <v>2022</v>
      </c>
      <c r="E88" s="67">
        <v>2023</v>
      </c>
      <c r="F88" s="67">
        <v>2024</v>
      </c>
    </row>
    <row r="89" spans="2:6">
      <c r="B89" s="4"/>
      <c r="C89" s="67"/>
      <c r="D89" s="67"/>
      <c r="E89" s="67"/>
      <c r="F89" s="67"/>
    </row>
    <row r="90" spans="2:6">
      <c r="B90" s="3"/>
      <c r="C90" s="17" t="s">
        <v>82</v>
      </c>
      <c r="D90" s="17"/>
      <c r="E90" s="17"/>
      <c r="F90" s="17"/>
    </row>
    <row r="91" spans="2:6">
      <c r="B91" s="6"/>
      <c r="C91" s="11" t="s">
        <v>83</v>
      </c>
      <c r="D91" s="14">
        <v>-2600793.84</v>
      </c>
      <c r="E91" s="14">
        <v>1106098.17</v>
      </c>
      <c r="F91" s="14">
        <v>-9833392.4900000002</v>
      </c>
    </row>
    <row r="92" spans="2:6">
      <c r="B92" s="6"/>
      <c r="C92" s="11" t="s">
        <v>84</v>
      </c>
      <c r="D92" s="14">
        <v>4322589.01</v>
      </c>
      <c r="E92" s="14">
        <v>8341317.4100000001</v>
      </c>
      <c r="F92" s="14">
        <v>1153829.47</v>
      </c>
    </row>
    <row r="93" spans="2:6">
      <c r="B93" s="3"/>
      <c r="C93" s="11" t="s">
        <v>85</v>
      </c>
      <c r="D93" s="14">
        <v>2458824.84</v>
      </c>
      <c r="E93" s="14">
        <v>2979405.61</v>
      </c>
      <c r="F93" s="14">
        <v>6050074.0199999996</v>
      </c>
    </row>
    <row r="94" spans="2:6">
      <c r="B94" s="6"/>
      <c r="C94" s="11" t="s">
        <v>86</v>
      </c>
      <c r="D94" s="14">
        <v>201473.72</v>
      </c>
      <c r="E94" s="14">
        <v>-261954.57</v>
      </c>
      <c r="F94" s="14">
        <v>99167.34</v>
      </c>
    </row>
    <row r="95" spans="2:6">
      <c r="B95" s="6"/>
      <c r="C95" s="11" t="s">
        <v>87</v>
      </c>
      <c r="D95" s="14">
        <v>-395850.14</v>
      </c>
      <c r="E95" s="14">
        <v>-494394.68</v>
      </c>
      <c r="F95" s="14">
        <v>-194771.24</v>
      </c>
    </row>
    <row r="96" spans="2:6">
      <c r="B96" s="5"/>
      <c r="C96" s="11" t="s">
        <v>88</v>
      </c>
      <c r="D96" s="14">
        <v>-49240.14</v>
      </c>
      <c r="E96" s="14">
        <v>2386.7399999999998</v>
      </c>
      <c r="F96" s="14">
        <v>-15839.66</v>
      </c>
    </row>
    <row r="97" spans="2:6">
      <c r="B97" s="4"/>
      <c r="C97" s="11" t="s">
        <v>89</v>
      </c>
      <c r="D97" s="14">
        <v>354787.65</v>
      </c>
      <c r="E97" s="14">
        <v>663547.02</v>
      </c>
      <c r="F97" s="14">
        <v>-506157.08</v>
      </c>
    </row>
    <row r="98" spans="2:6">
      <c r="B98" s="4"/>
      <c r="C98" s="11" t="s">
        <v>90</v>
      </c>
      <c r="D98" s="14">
        <v>-1280212.1499999999</v>
      </c>
      <c r="E98" s="14">
        <v>1377286.94</v>
      </c>
      <c r="F98" s="14">
        <v>12869.02</v>
      </c>
    </row>
    <row r="99" spans="2:6">
      <c r="B99" s="3"/>
      <c r="C99" s="11" t="s">
        <v>91</v>
      </c>
      <c r="D99" s="14">
        <v>3321253.1</v>
      </c>
      <c r="E99" s="14">
        <v>5837002.4000000004</v>
      </c>
      <c r="F99" s="14">
        <v>-3278957.81</v>
      </c>
    </row>
    <row r="100" spans="2:6">
      <c r="B100" s="6"/>
      <c r="C100" s="11" t="s">
        <v>92</v>
      </c>
      <c r="D100" s="14">
        <v>-2686440.74</v>
      </c>
      <c r="E100" s="14">
        <v>-898489.23</v>
      </c>
      <c r="F100" s="14">
        <v>-1130315.43</v>
      </c>
    </row>
    <row r="101" spans="2:6">
      <c r="B101" s="6"/>
      <c r="C101" s="11" t="s">
        <v>93</v>
      </c>
      <c r="D101" s="14">
        <v>-1690906</v>
      </c>
      <c r="E101" s="14">
        <v>127412.64</v>
      </c>
      <c r="F101" s="14">
        <v>117760.31</v>
      </c>
    </row>
    <row r="102" spans="2:6">
      <c r="B102" s="3"/>
      <c r="C102" s="11" t="s">
        <v>94</v>
      </c>
      <c r="D102" s="14">
        <v>3508989.58</v>
      </c>
      <c r="E102" s="14">
        <v>-121718</v>
      </c>
      <c r="F102" s="14">
        <v>0</v>
      </c>
    </row>
    <row r="103" spans="2:6">
      <c r="B103" s="6"/>
      <c r="C103" s="11" t="s">
        <v>95</v>
      </c>
      <c r="D103" s="14">
        <v>579909.29</v>
      </c>
      <c r="E103" s="14">
        <v>-869167.46</v>
      </c>
      <c r="F103" s="14">
        <v>0</v>
      </c>
    </row>
    <row r="104" spans="2:6">
      <c r="B104" s="6"/>
      <c r="C104" s="11" t="s">
        <v>96</v>
      </c>
      <c r="D104" s="14">
        <v>1721795.17</v>
      </c>
      <c r="E104" s="14">
        <v>9447415.5800000001</v>
      </c>
      <c r="F104" s="14">
        <v>-8679563.0199999996</v>
      </c>
    </row>
    <row r="105" spans="2:6">
      <c r="B105" s="5"/>
      <c r="C105" s="17" t="s">
        <v>97</v>
      </c>
      <c r="D105" s="18"/>
      <c r="E105" s="18"/>
      <c r="F105" s="18"/>
    </row>
    <row r="106" spans="2:6">
      <c r="B106" s="4"/>
      <c r="C106" s="11" t="s">
        <v>98</v>
      </c>
      <c r="D106" s="14">
        <v>18540456.620000001</v>
      </c>
      <c r="E106" s="14">
        <v>12545115.109999999</v>
      </c>
      <c r="F106" s="14">
        <v>265373.25</v>
      </c>
    </row>
    <row r="107" spans="2:6">
      <c r="B107" s="4"/>
      <c r="C107" s="11" t="s">
        <v>99</v>
      </c>
      <c r="D107" s="14">
        <v>49240.14</v>
      </c>
      <c r="E107" s="14">
        <v>37947.160000000003</v>
      </c>
      <c r="F107" s="14">
        <v>33422.769999999997</v>
      </c>
    </row>
    <row r="108" spans="2:6">
      <c r="B108" s="8"/>
      <c r="C108" s="11" t="s">
        <v>100</v>
      </c>
      <c r="D108" s="14" t="s">
        <v>15</v>
      </c>
      <c r="E108" s="14">
        <v>0</v>
      </c>
      <c r="F108" s="14">
        <v>0</v>
      </c>
    </row>
    <row r="109" spans="2:6">
      <c r="B109" s="6"/>
      <c r="C109" s="11" t="s">
        <v>101</v>
      </c>
      <c r="D109" s="14">
        <v>222216.48</v>
      </c>
      <c r="E109" s="14">
        <v>776167.95</v>
      </c>
      <c r="F109" s="14">
        <v>231950.48</v>
      </c>
    </row>
    <row r="110" spans="2:6">
      <c r="B110" s="6"/>
      <c r="C110" s="11" t="s">
        <v>102</v>
      </c>
      <c r="D110" s="14">
        <v>18269000</v>
      </c>
      <c r="E110" s="14">
        <v>11731000</v>
      </c>
      <c r="F110" s="14">
        <v>0</v>
      </c>
    </row>
    <row r="111" spans="2:6">
      <c r="B111" s="8"/>
      <c r="C111" s="11" t="s">
        <v>103</v>
      </c>
      <c r="D111" s="14">
        <v>9381077.8300000001</v>
      </c>
      <c r="E111" s="14">
        <v>5889592.0700000003</v>
      </c>
      <c r="F111" s="14">
        <v>3342056.66</v>
      </c>
    </row>
    <row r="112" spans="2:6">
      <c r="B112" s="6"/>
      <c r="C112" s="11" t="s">
        <v>104</v>
      </c>
      <c r="D112" s="14">
        <v>4345015.59</v>
      </c>
      <c r="E112" s="14">
        <v>1786936.02</v>
      </c>
      <c r="F112" s="14">
        <v>3342056.66</v>
      </c>
    </row>
    <row r="113" spans="2:6">
      <c r="B113" s="6"/>
      <c r="C113" s="11" t="s">
        <v>105</v>
      </c>
      <c r="D113" s="14" t="s">
        <v>15</v>
      </c>
      <c r="E113" s="14">
        <v>0</v>
      </c>
      <c r="F113" s="14">
        <v>0</v>
      </c>
    </row>
    <row r="114" spans="2:6">
      <c r="B114" s="3"/>
      <c r="C114" s="11" t="s">
        <v>106</v>
      </c>
      <c r="D114" s="14">
        <v>4486062.24</v>
      </c>
      <c r="E114" s="14">
        <v>0</v>
      </c>
      <c r="F114" s="14">
        <v>0</v>
      </c>
    </row>
    <row r="115" spans="2:6">
      <c r="B115" s="3"/>
      <c r="C115" s="11" t="s">
        <v>107</v>
      </c>
      <c r="D115" s="14">
        <v>550000</v>
      </c>
      <c r="E115" s="14">
        <v>4102656.05</v>
      </c>
      <c r="F115" s="14">
        <v>0</v>
      </c>
    </row>
    <row r="116" spans="2:6">
      <c r="B116" s="2"/>
      <c r="C116" s="11" t="s">
        <v>108</v>
      </c>
      <c r="D116" s="14">
        <v>9159378.7899999991</v>
      </c>
      <c r="E116" s="14">
        <v>6655523.04</v>
      </c>
      <c r="F116" s="14">
        <v>-3076683.41</v>
      </c>
    </row>
    <row r="117" spans="2:6">
      <c r="B117" s="4"/>
      <c r="C117" s="17" t="s">
        <v>109</v>
      </c>
      <c r="D117" s="18"/>
      <c r="E117" s="18"/>
      <c r="F117" s="18"/>
    </row>
    <row r="118" spans="2:6">
      <c r="B118" s="4"/>
      <c r="C118" s="11" t="s">
        <v>98</v>
      </c>
      <c r="D118" s="14">
        <v>227031.33</v>
      </c>
      <c r="E118" s="14">
        <v>263792.76</v>
      </c>
      <c r="F118" s="14">
        <v>0</v>
      </c>
    </row>
    <row r="119" spans="2:6">
      <c r="B119" s="8"/>
      <c r="C119" s="11" t="s">
        <v>110</v>
      </c>
      <c r="D119" s="14" t="s">
        <v>15</v>
      </c>
      <c r="E119" s="14">
        <v>0</v>
      </c>
      <c r="F119" s="14">
        <v>0</v>
      </c>
    </row>
    <row r="120" spans="2:6">
      <c r="B120" s="6"/>
      <c r="C120" s="11" t="s">
        <v>111</v>
      </c>
      <c r="D120" s="14" t="s">
        <v>15</v>
      </c>
      <c r="E120" s="14">
        <v>0</v>
      </c>
      <c r="F120" s="14">
        <v>0</v>
      </c>
    </row>
    <row r="121" spans="2:6">
      <c r="B121" s="6"/>
      <c r="C121" s="11" t="s">
        <v>112</v>
      </c>
      <c r="D121" s="14" t="s">
        <v>15</v>
      </c>
      <c r="E121" s="14">
        <v>0</v>
      </c>
      <c r="F121" s="14">
        <v>0</v>
      </c>
    </row>
    <row r="122" spans="2:6">
      <c r="B122" s="5"/>
      <c r="C122" s="11" t="s">
        <v>113</v>
      </c>
      <c r="D122" s="14">
        <v>227031.33</v>
      </c>
      <c r="E122" s="14">
        <v>263792.76</v>
      </c>
      <c r="F122" s="14">
        <v>0</v>
      </c>
    </row>
    <row r="123" spans="2:6">
      <c r="B123" s="4"/>
      <c r="C123" s="11" t="s">
        <v>103</v>
      </c>
      <c r="D123" s="14">
        <v>10997333.98</v>
      </c>
      <c r="E123" s="14">
        <v>491507.14</v>
      </c>
      <c r="F123" s="14">
        <v>117971.47</v>
      </c>
    </row>
    <row r="124" spans="2:6">
      <c r="B124" s="4"/>
      <c r="C124" s="11" t="s">
        <v>114</v>
      </c>
      <c r="D124" s="14" t="s">
        <v>15</v>
      </c>
      <c r="E124" s="14">
        <v>0</v>
      </c>
      <c r="F124" s="14">
        <v>0</v>
      </c>
    </row>
    <row r="125" spans="2:6">
      <c r="B125" s="5"/>
      <c r="C125" s="11" t="s">
        <v>115</v>
      </c>
      <c r="D125" s="14">
        <v>9996380.8200000003</v>
      </c>
      <c r="E125" s="14">
        <v>0</v>
      </c>
      <c r="F125" s="14">
        <v>0</v>
      </c>
    </row>
    <row r="126" spans="2:6">
      <c r="B126" s="2"/>
      <c r="C126" s="11" t="s">
        <v>116</v>
      </c>
      <c r="D126" s="14" t="s">
        <v>15</v>
      </c>
      <c r="E126" s="14">
        <v>0</v>
      </c>
      <c r="F126" s="14">
        <v>0</v>
      </c>
    </row>
    <row r="127" spans="2:6">
      <c r="B127" s="2"/>
      <c r="C127" s="11" t="s">
        <v>117</v>
      </c>
      <c r="D127" s="14">
        <v>874999.92</v>
      </c>
      <c r="E127" s="14">
        <v>437500.12</v>
      </c>
      <c r="F127" s="14">
        <v>0</v>
      </c>
    </row>
    <row r="128" spans="2:6">
      <c r="B128" s="3"/>
      <c r="C128" s="11" t="s">
        <v>118</v>
      </c>
      <c r="D128" s="14" t="s">
        <v>15</v>
      </c>
      <c r="E128" s="14">
        <v>0</v>
      </c>
      <c r="F128" s="14">
        <v>0</v>
      </c>
    </row>
    <row r="129" spans="2:6">
      <c r="B129" s="8"/>
      <c r="C129" s="11" t="s">
        <v>119</v>
      </c>
      <c r="D129" s="14" t="s">
        <v>15</v>
      </c>
      <c r="E129" s="14">
        <v>0</v>
      </c>
      <c r="F129" s="14">
        <v>0</v>
      </c>
    </row>
    <row r="130" spans="2:6">
      <c r="B130" s="8"/>
      <c r="C130" s="11" t="s">
        <v>120</v>
      </c>
      <c r="D130" s="14">
        <v>98113.18</v>
      </c>
      <c r="E130" s="14">
        <v>34188.32</v>
      </c>
      <c r="F130" s="14">
        <v>80792.23</v>
      </c>
    </row>
    <row r="131" spans="2:6">
      <c r="B131" s="2"/>
      <c r="C131" s="11" t="s">
        <v>121</v>
      </c>
      <c r="D131" s="14">
        <v>27840.06</v>
      </c>
      <c r="E131" s="14">
        <v>19818.7</v>
      </c>
      <c r="F131" s="14">
        <v>37179.24</v>
      </c>
    </row>
    <row r="132" spans="2:6">
      <c r="B132" s="4"/>
      <c r="C132" s="11" t="s">
        <v>122</v>
      </c>
      <c r="D132" s="14" t="s">
        <v>15</v>
      </c>
      <c r="E132" s="14">
        <v>0</v>
      </c>
      <c r="F132" s="14">
        <v>0</v>
      </c>
    </row>
    <row r="133" spans="2:6">
      <c r="B133" s="4"/>
      <c r="C133" s="11" t="s">
        <v>123</v>
      </c>
      <c r="D133" s="14">
        <v>-10770302.65</v>
      </c>
      <c r="E133" s="14">
        <v>-227714.38</v>
      </c>
      <c r="F133" s="14">
        <v>-117971.47</v>
      </c>
    </row>
    <row r="134" spans="2:6">
      <c r="B134" s="4"/>
      <c r="C134" s="17" t="s">
        <v>124</v>
      </c>
      <c r="D134" s="18">
        <v>110871.31</v>
      </c>
      <c r="E134" s="18">
        <v>15875224.24</v>
      </c>
      <c r="F134" s="18">
        <v>-11874217.9</v>
      </c>
    </row>
    <row r="135" spans="2:6">
      <c r="B135" s="12"/>
      <c r="C135" s="11" t="s">
        <v>125</v>
      </c>
      <c r="D135" s="14">
        <v>110871.31</v>
      </c>
      <c r="E135" s="14">
        <v>15875224.24</v>
      </c>
      <c r="F135" s="14">
        <v>-11874217.9</v>
      </c>
    </row>
    <row r="136" spans="2:6">
      <c r="B136" s="3"/>
      <c r="C136" s="11" t="s">
        <v>126</v>
      </c>
      <c r="D136" s="14" t="s">
        <v>15</v>
      </c>
      <c r="E136" s="14">
        <v>0</v>
      </c>
      <c r="F136" s="14">
        <v>0</v>
      </c>
    </row>
    <row r="137" spans="2:6">
      <c r="B137" s="6"/>
      <c r="C137" s="17" t="s">
        <v>127</v>
      </c>
      <c r="D137" s="18">
        <v>3406348.64</v>
      </c>
      <c r="E137" s="18">
        <v>3517219.95</v>
      </c>
      <c r="F137" s="18">
        <v>19392444.190000001</v>
      </c>
    </row>
    <row r="138" spans="2:6">
      <c r="B138" s="6"/>
      <c r="C138" s="17" t="s">
        <v>128</v>
      </c>
      <c r="D138" s="18">
        <v>3517219.95</v>
      </c>
      <c r="E138" s="18">
        <v>19392444.190000001</v>
      </c>
      <c r="F138" s="18">
        <v>7518226.29</v>
      </c>
    </row>
    <row r="139" spans="2:6">
      <c r="B139" s="13"/>
    </row>
    <row r="140" spans="2:6">
      <c r="B140" s="13"/>
    </row>
    <row r="141" spans="2:6">
      <c r="B141" s="3"/>
    </row>
    <row r="142" spans="2:6">
      <c r="B142" s="8"/>
      <c r="E142" s="1"/>
    </row>
    <row r="143" spans="2:6">
      <c r="B143" s="8"/>
    </row>
    <row r="144" spans="2:6">
      <c r="B144" s="3"/>
    </row>
    <row r="145" spans="2:5">
      <c r="B145" s="13"/>
    </row>
    <row r="146" spans="2:5">
      <c r="B146" s="13"/>
      <c r="E146" s="1"/>
    </row>
    <row r="147" spans="2:5">
      <c r="B147" s="3"/>
      <c r="E147" s="1"/>
    </row>
    <row r="148" spans="2:5">
      <c r="B148" s="8"/>
    </row>
    <row r="149" spans="2:5">
      <c r="B149" s="8"/>
    </row>
    <row r="150" spans="2:5">
      <c r="B150" s="6"/>
      <c r="E150" s="1"/>
    </row>
    <row r="151" spans="2:5">
      <c r="C151" s="5"/>
      <c r="E151" s="1"/>
    </row>
    <row r="152" spans="2:5">
      <c r="C152" s="7"/>
    </row>
    <row r="153" spans="2:5">
      <c r="C153" s="7"/>
    </row>
    <row r="154" spans="2:5">
      <c r="C154" s="5"/>
      <c r="E154" s="1"/>
    </row>
    <row r="155" spans="2:5">
      <c r="C155" s="7"/>
      <c r="E155" s="1"/>
    </row>
    <row r="156" spans="2:5">
      <c r="C156" s="7"/>
    </row>
    <row r="157" spans="2:5">
      <c r="C157" s="5"/>
    </row>
    <row r="158" spans="2:5">
      <c r="C158" s="6"/>
      <c r="E158" s="1"/>
    </row>
    <row r="159" spans="2:5">
      <c r="C159" s="6"/>
      <c r="E159" s="1"/>
    </row>
    <row r="160" spans="2:5">
      <c r="C160" s="5"/>
    </row>
    <row r="161" spans="3:5">
      <c r="C161" s="6"/>
    </row>
    <row r="162" spans="3:5">
      <c r="C162" s="6"/>
    </row>
    <row r="163" spans="3:5">
      <c r="C163" s="5"/>
    </row>
    <row r="164" spans="3:5">
      <c r="C164" s="6"/>
    </row>
    <row r="165" spans="3:5">
      <c r="C165" s="6"/>
    </row>
    <row r="166" spans="3:5">
      <c r="C166" s="3"/>
      <c r="E166" s="1"/>
    </row>
    <row r="167" spans="3:5">
      <c r="C167" s="4"/>
      <c r="E167" s="1"/>
    </row>
    <row r="168" spans="3:5">
      <c r="C168" s="4"/>
    </row>
    <row r="169" spans="3:5">
      <c r="C169" s="8"/>
    </row>
    <row r="170" spans="3:5">
      <c r="C170" s="7"/>
    </row>
    <row r="171" spans="3:5">
      <c r="C171" s="6"/>
    </row>
    <row r="172" spans="3:5">
      <c r="C172" s="5"/>
    </row>
    <row r="173" spans="3:5">
      <c r="C173" s="6"/>
    </row>
    <row r="174" spans="3:5">
      <c r="C174" s="6"/>
    </row>
    <row r="175" spans="3:5">
      <c r="C175" s="5"/>
    </row>
    <row r="176" spans="3:5">
      <c r="C176" s="6"/>
    </row>
    <row r="177" spans="3:3">
      <c r="C177" s="6"/>
    </row>
    <row r="178" spans="3:3">
      <c r="C178" s="5"/>
    </row>
    <row r="179" spans="3:3">
      <c r="C179" s="6"/>
    </row>
    <row r="180" spans="3:3">
      <c r="C180" s="6"/>
    </row>
    <row r="181" spans="3:3">
      <c r="C181" s="5"/>
    </row>
    <row r="182" spans="3:3">
      <c r="C182" s="7"/>
    </row>
    <row r="183" spans="3:3">
      <c r="C183" s="7"/>
    </row>
    <row r="184" spans="3:3">
      <c r="C184" s="5"/>
    </row>
    <row r="185" spans="3:3">
      <c r="C185" s="6"/>
    </row>
    <row r="186" spans="3:3">
      <c r="C186" s="6"/>
    </row>
    <row r="187" spans="3:3">
      <c r="C187" s="5"/>
    </row>
    <row r="188" spans="3:3">
      <c r="C188" s="6"/>
    </row>
    <row r="189" spans="3:3">
      <c r="C189" s="6"/>
    </row>
    <row r="190" spans="3:3">
      <c r="C190" s="5"/>
    </row>
    <row r="191" spans="3:3">
      <c r="C191" s="6"/>
    </row>
    <row r="192" spans="3:3">
      <c r="C192" s="6"/>
    </row>
    <row r="193" spans="3:3">
      <c r="C193" s="2"/>
    </row>
    <row r="194" spans="3:3">
      <c r="C194" s="4"/>
    </row>
    <row r="195" spans="3:3">
      <c r="C195" s="4"/>
    </row>
  </sheetData>
  <mergeCells count="17">
    <mergeCell ref="C61:C62"/>
    <mergeCell ref="D61:D62"/>
    <mergeCell ref="E61:E62"/>
    <mergeCell ref="F61:F62"/>
    <mergeCell ref="C88:C89"/>
    <mergeCell ref="D88:D89"/>
    <mergeCell ref="E88:E89"/>
    <mergeCell ref="F88:F89"/>
    <mergeCell ref="H3:H4"/>
    <mergeCell ref="E3:E4"/>
    <mergeCell ref="F30:F31"/>
    <mergeCell ref="F3:F4"/>
    <mergeCell ref="C3:C4"/>
    <mergeCell ref="D3:D4"/>
    <mergeCell ref="D30:D31"/>
    <mergeCell ref="E30:E31"/>
    <mergeCell ref="C30:C3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D4A2F-E840-43B3-B5D8-5E10F62BFFBB}">
  <dimension ref="A1:L127"/>
  <sheetViews>
    <sheetView topLeftCell="A8" workbookViewId="0">
      <selection activeCell="R2" sqref="R2"/>
    </sheetView>
  </sheetViews>
  <sheetFormatPr defaultColWidth="8.85546875" defaultRowHeight="15"/>
  <cols>
    <col min="1" max="1" width="65.28515625" customWidth="1"/>
    <col min="2" max="2" width="17.7109375" customWidth="1"/>
    <col min="3" max="3" width="17.42578125" customWidth="1"/>
    <col min="4" max="4" width="15.42578125" customWidth="1"/>
    <col min="5" max="5" width="25.7109375" customWidth="1"/>
    <col min="6" max="6" width="27.140625" customWidth="1"/>
    <col min="7" max="7" width="26.140625" customWidth="1"/>
    <col min="8" max="8" width="24.140625" customWidth="1"/>
    <col min="9" max="9" width="23.7109375" customWidth="1"/>
    <col min="10" max="10" width="22.7109375" customWidth="1"/>
    <col min="11" max="11" width="15" customWidth="1"/>
    <col min="12" max="12" width="15.28515625" customWidth="1"/>
  </cols>
  <sheetData>
    <row r="1" spans="1:10" ht="46.5" customHeight="1">
      <c r="A1" s="70" t="s">
        <v>129</v>
      </c>
      <c r="B1" s="70"/>
      <c r="C1" s="70"/>
      <c r="D1" s="70"/>
      <c r="E1" s="70"/>
      <c r="F1" s="70"/>
      <c r="G1" s="70"/>
      <c r="H1" s="70"/>
      <c r="I1" s="70"/>
      <c r="J1" s="70"/>
    </row>
    <row r="2" spans="1:10">
      <c r="A2" s="45" t="s">
        <v>130</v>
      </c>
      <c r="B2" s="45">
        <v>2022</v>
      </c>
      <c r="C2" s="45">
        <v>2023</v>
      </c>
      <c r="D2" s="45">
        <v>2024</v>
      </c>
      <c r="E2" s="45" t="s">
        <v>131</v>
      </c>
      <c r="F2" s="45" t="s">
        <v>132</v>
      </c>
      <c r="G2" s="45" t="s">
        <v>133</v>
      </c>
      <c r="H2" s="45" t="s">
        <v>134</v>
      </c>
      <c r="I2" s="45" t="s">
        <v>135</v>
      </c>
      <c r="J2" s="45" t="s">
        <v>136</v>
      </c>
    </row>
    <row r="3" spans="1:10">
      <c r="A3" s="40" t="s">
        <v>9</v>
      </c>
      <c r="B3" s="41">
        <v>31211271.84</v>
      </c>
      <c r="C3" s="42">
        <v>30390473.620000001</v>
      </c>
      <c r="D3" s="41">
        <v>24310206.050000001</v>
      </c>
      <c r="E3" s="9">
        <f>C3-B3</f>
        <v>-820798.21999999881</v>
      </c>
      <c r="F3" s="9">
        <f>D3-C3</f>
        <v>-6080267.5700000003</v>
      </c>
      <c r="G3" s="44">
        <f>E3/B3</f>
        <v>-2.6298134347350545E-2</v>
      </c>
      <c r="H3" s="44">
        <f>F3/C3</f>
        <v>-0.20007149760241216</v>
      </c>
      <c r="I3" s="44">
        <f>C3/B3</f>
        <v>0.97370186565264949</v>
      </c>
      <c r="J3" s="44">
        <f>D3/C3</f>
        <v>0.79992850239758784</v>
      </c>
    </row>
    <row r="4" spans="1:10">
      <c r="A4" s="43" t="s">
        <v>22</v>
      </c>
      <c r="B4" s="42">
        <v>40951219.5</v>
      </c>
      <c r="C4" s="42">
        <v>41135074.109999999</v>
      </c>
      <c r="D4" s="42">
        <v>27995585.48</v>
      </c>
      <c r="E4" s="9">
        <f t="shared" ref="E4:E21" si="0">C4-B4</f>
        <v>183854.6099999994</v>
      </c>
      <c r="F4" s="9">
        <f t="shared" ref="F4:F21" si="1">D4-C4</f>
        <v>-13139488.629999999</v>
      </c>
      <c r="G4" s="44">
        <f t="shared" ref="G4:G21" si="2">E4/B4</f>
        <v>4.4896003646484666E-3</v>
      </c>
      <c r="H4" s="44">
        <f t="shared" ref="H4:H8" si="3">F4/C4</f>
        <v>-0.31942299641574656</v>
      </c>
      <c r="I4" s="44">
        <f t="shared" ref="I4:I21" si="4">C4/B4</f>
        <v>1.0044896003646484</v>
      </c>
      <c r="J4" s="44">
        <f t="shared" ref="J4:J8" si="5">D4/C4</f>
        <v>0.68057700358425344</v>
      </c>
    </row>
    <row r="5" spans="1:10">
      <c r="A5" s="43" t="s">
        <v>32</v>
      </c>
      <c r="B5" s="42">
        <v>72162491.340000004</v>
      </c>
      <c r="C5" s="42">
        <v>71525547.730000004</v>
      </c>
      <c r="D5" s="42">
        <v>52305791.530000001</v>
      </c>
      <c r="E5" s="9">
        <f t="shared" si="0"/>
        <v>-636943.6099999994</v>
      </c>
      <c r="F5" s="9">
        <f t="shared" si="1"/>
        <v>-19219756.200000003</v>
      </c>
      <c r="G5" s="44">
        <f t="shared" si="2"/>
        <v>-8.8265191261064271E-3</v>
      </c>
      <c r="H5" s="44">
        <f t="shared" si="3"/>
        <v>-0.26871176537580921</v>
      </c>
      <c r="I5" s="44">
        <f t="shared" si="4"/>
        <v>0.99117348087389356</v>
      </c>
      <c r="J5" s="44">
        <f t="shared" si="5"/>
        <v>0.73128823462419079</v>
      </c>
    </row>
    <row r="6" spans="1:10">
      <c r="A6" s="43" t="s">
        <v>34</v>
      </c>
      <c r="B6" s="42">
        <v>47711737.880000003</v>
      </c>
      <c r="C6" s="42">
        <v>47948668.590000004</v>
      </c>
      <c r="D6" s="42">
        <v>30865441.73</v>
      </c>
      <c r="E6" s="9">
        <f t="shared" si="0"/>
        <v>236930.71000000089</v>
      </c>
      <c r="F6" s="9">
        <f t="shared" si="1"/>
        <v>-17083226.860000003</v>
      </c>
      <c r="G6" s="44">
        <f t="shared" si="2"/>
        <v>4.9658788492656951E-3</v>
      </c>
      <c r="H6" s="44">
        <f t="shared" si="3"/>
        <v>-0.35628156865158123</v>
      </c>
      <c r="I6" s="44">
        <f t="shared" si="4"/>
        <v>1.0049658788492657</v>
      </c>
      <c r="J6" s="44">
        <f t="shared" si="5"/>
        <v>0.64371843134841877</v>
      </c>
    </row>
    <row r="7" spans="1:10">
      <c r="A7" s="43" t="s">
        <v>42</v>
      </c>
      <c r="B7" s="42">
        <v>5962098.0099999998</v>
      </c>
      <c r="C7" s="42">
        <v>5704757.4299999997</v>
      </c>
      <c r="D7" s="42">
        <v>5385566.9699999997</v>
      </c>
      <c r="E7" s="9">
        <f t="shared" si="0"/>
        <v>-257340.58000000007</v>
      </c>
      <c r="F7" s="9">
        <f t="shared" si="1"/>
        <v>-319190.45999999996</v>
      </c>
      <c r="G7" s="44">
        <f t="shared" si="2"/>
        <v>-4.31627557226286E-2</v>
      </c>
      <c r="H7" s="44">
        <f t="shared" si="3"/>
        <v>-5.5951627026497426E-2</v>
      </c>
      <c r="I7" s="44">
        <f t="shared" si="4"/>
        <v>0.95683724427737138</v>
      </c>
      <c r="J7" s="44">
        <f t="shared" si="5"/>
        <v>0.94404837297350253</v>
      </c>
    </row>
    <row r="8" spans="1:10">
      <c r="A8" s="43" t="s">
        <v>50</v>
      </c>
      <c r="B8" s="42">
        <v>18488655.449999999</v>
      </c>
      <c r="C8" s="42">
        <v>17872121.710000001</v>
      </c>
      <c r="D8" s="42">
        <v>16054782.83</v>
      </c>
      <c r="E8" s="9">
        <f t="shared" si="0"/>
        <v>-616533.73999999836</v>
      </c>
      <c r="F8" s="9">
        <f t="shared" si="1"/>
        <v>-1817338.8800000008</v>
      </c>
      <c r="G8" s="44">
        <f t="shared" si="2"/>
        <v>-3.334659687219161E-2</v>
      </c>
      <c r="H8" s="44">
        <f t="shared" si="3"/>
        <v>-0.10168568172760059</v>
      </c>
      <c r="I8" s="44">
        <f t="shared" si="4"/>
        <v>0.96665340312780834</v>
      </c>
      <c r="J8" s="44">
        <f t="shared" si="5"/>
        <v>0.89831431827239938</v>
      </c>
    </row>
    <row r="9" spans="1:10">
      <c r="A9" s="43" t="s">
        <v>56</v>
      </c>
      <c r="B9" s="42">
        <v>72162491.340000004</v>
      </c>
      <c r="C9" s="42">
        <v>71525547.730000004</v>
      </c>
      <c r="D9" s="42">
        <v>52305791.530000001</v>
      </c>
      <c r="E9" s="9">
        <f t="shared" si="0"/>
        <v>-636943.6099999994</v>
      </c>
      <c r="F9" s="9">
        <f t="shared" si="1"/>
        <v>-19219756.200000003</v>
      </c>
      <c r="G9" s="44">
        <f t="shared" si="2"/>
        <v>-8.8265191261064271E-3</v>
      </c>
      <c r="H9" s="44">
        <f>F9/C9</f>
        <v>-0.26871176537580921</v>
      </c>
      <c r="I9" s="44">
        <f t="shared" si="4"/>
        <v>0.99117348087389356</v>
      </c>
      <c r="J9" s="44">
        <f>D9/C9</f>
        <v>0.73128823462419079</v>
      </c>
    </row>
    <row r="10" spans="1:10">
      <c r="A10" s="45" t="s">
        <v>137</v>
      </c>
      <c r="B10" s="45">
        <v>2022</v>
      </c>
      <c r="C10" s="45">
        <v>2023</v>
      </c>
      <c r="D10" s="45">
        <v>2024</v>
      </c>
      <c r="E10" s="45" t="s">
        <v>131</v>
      </c>
      <c r="F10" s="45" t="s">
        <v>132</v>
      </c>
      <c r="G10" s="45" t="s">
        <v>133</v>
      </c>
      <c r="H10" s="45" t="s">
        <v>134</v>
      </c>
      <c r="I10" s="45" t="s">
        <v>135</v>
      </c>
      <c r="J10" s="45" t="s">
        <v>136</v>
      </c>
    </row>
    <row r="11" spans="1:10">
      <c r="A11" s="43" t="s">
        <v>59</v>
      </c>
      <c r="B11" s="42">
        <v>85736590.790000007</v>
      </c>
      <c r="C11" s="42">
        <v>90843656.659999996</v>
      </c>
      <c r="D11" s="42">
        <v>70301360.450000003</v>
      </c>
      <c r="E11" s="9">
        <f t="shared" si="0"/>
        <v>5107065.8699999899</v>
      </c>
      <c r="F11" s="9">
        <f t="shared" si="1"/>
        <v>-20542296.209999993</v>
      </c>
      <c r="G11" s="44">
        <f t="shared" si="2"/>
        <v>5.9566934291906307E-2</v>
      </c>
      <c r="H11" s="44">
        <f t="shared" ref="H11:H21" si="6">F11/C11</f>
        <v>-0.22612801999905752</v>
      </c>
      <c r="I11" s="44">
        <f t="shared" si="4"/>
        <v>1.0595669342919063</v>
      </c>
      <c r="J11" s="44">
        <f t="shared" ref="J11:J15" si="7">D11/C11</f>
        <v>0.77387198000094248</v>
      </c>
    </row>
    <row r="12" spans="1:10">
      <c r="A12" s="43" t="s">
        <v>62</v>
      </c>
      <c r="B12" s="42">
        <v>67645019.200000003</v>
      </c>
      <c r="C12" s="42">
        <v>67625893.180000007</v>
      </c>
      <c r="D12" s="42">
        <v>57682822.090000004</v>
      </c>
      <c r="E12" s="9">
        <f t="shared" si="0"/>
        <v>-19126.019999995828</v>
      </c>
      <c r="F12" s="9">
        <f t="shared" si="1"/>
        <v>-9943071.0900000036</v>
      </c>
      <c r="G12" s="44">
        <f t="shared" si="2"/>
        <v>-2.8274099447658709E-4</v>
      </c>
      <c r="H12" s="44">
        <f t="shared" si="6"/>
        <v>-0.14703053257329271</v>
      </c>
      <c r="I12" s="44">
        <f t="shared" si="4"/>
        <v>0.99971725900552344</v>
      </c>
      <c r="J12" s="44">
        <f t="shared" si="7"/>
        <v>0.85296946742670732</v>
      </c>
    </row>
    <row r="13" spans="1:10">
      <c r="A13" s="43" t="s">
        <v>65</v>
      </c>
      <c r="B13" s="42">
        <v>18091571.59</v>
      </c>
      <c r="C13" s="42">
        <v>23217763.48</v>
      </c>
      <c r="D13" s="42">
        <v>12618538.359999999</v>
      </c>
      <c r="E13" s="9">
        <f t="shared" si="0"/>
        <v>5126191.8900000006</v>
      </c>
      <c r="F13" s="9">
        <f t="shared" si="1"/>
        <v>-10599225.120000001</v>
      </c>
      <c r="G13" s="44">
        <f t="shared" si="2"/>
        <v>0.28334696433080864</v>
      </c>
      <c r="H13" s="44">
        <f t="shared" si="6"/>
        <v>-0.45651361420449793</v>
      </c>
      <c r="I13" s="44">
        <f t="shared" si="4"/>
        <v>1.2833469643308086</v>
      </c>
      <c r="J13" s="44">
        <f t="shared" si="7"/>
        <v>0.54348638579550212</v>
      </c>
    </row>
    <row r="14" spans="1:10">
      <c r="A14" s="43" t="s">
        <v>71</v>
      </c>
      <c r="B14" s="42">
        <v>159356.88</v>
      </c>
      <c r="C14" s="42">
        <v>488859.82</v>
      </c>
      <c r="D14" s="42">
        <v>-10954030.109999999</v>
      </c>
      <c r="E14" s="9">
        <f t="shared" si="0"/>
        <v>329502.94</v>
      </c>
      <c r="F14" s="9">
        <f t="shared" si="1"/>
        <v>-11442889.93</v>
      </c>
      <c r="G14" s="44">
        <f t="shared" si="2"/>
        <v>2.067704513291174</v>
      </c>
      <c r="H14" s="44">
        <f t="shared" si="6"/>
        <v>-23.407302997411403</v>
      </c>
      <c r="I14" s="44">
        <f t="shared" si="4"/>
        <v>3.067704513291174</v>
      </c>
      <c r="J14" s="44">
        <f t="shared" si="7"/>
        <v>-22.407302997411403</v>
      </c>
    </row>
    <row r="15" spans="1:10">
      <c r="A15" s="43" t="s">
        <v>75</v>
      </c>
      <c r="B15" s="42">
        <v>-2600793.84</v>
      </c>
      <c r="C15" s="42">
        <v>1106098.17</v>
      </c>
      <c r="D15" s="42">
        <v>-9833392.4900000002</v>
      </c>
      <c r="E15" s="9">
        <f t="shared" si="0"/>
        <v>3706892.01</v>
      </c>
      <c r="F15" s="9">
        <f t="shared" si="1"/>
        <v>-10939490.66</v>
      </c>
      <c r="G15" s="44">
        <f t="shared" si="2"/>
        <v>-1.4252925214556798</v>
      </c>
      <c r="H15" s="44">
        <f t="shared" si="6"/>
        <v>-9.8901625160450273</v>
      </c>
      <c r="I15" s="44">
        <f t="shared" si="4"/>
        <v>-0.42529252145567986</v>
      </c>
      <c r="J15" s="44">
        <f t="shared" si="7"/>
        <v>-8.8901625160450273</v>
      </c>
    </row>
    <row r="16" spans="1:10">
      <c r="A16" s="43" t="s">
        <v>80</v>
      </c>
      <c r="B16" s="42">
        <v>-2020884.55</v>
      </c>
      <c r="C16" s="42">
        <v>236930.71</v>
      </c>
      <c r="D16" s="42">
        <v>-10258888.789999999</v>
      </c>
      <c r="E16" s="9">
        <f t="shared" si="0"/>
        <v>2257815.2600000002</v>
      </c>
      <c r="F16" s="9">
        <f t="shared" si="1"/>
        <v>-10495819.5</v>
      </c>
      <c r="G16" s="44">
        <f t="shared" si="2"/>
        <v>-1.1172410912835176</v>
      </c>
      <c r="H16" s="44">
        <f t="shared" si="6"/>
        <v>-44.299109642646158</v>
      </c>
      <c r="I16" s="44">
        <f t="shared" si="4"/>
        <v>-0.1172410912835174</v>
      </c>
      <c r="J16" s="44">
        <f>D16/C16</f>
        <v>-43.299109642646151</v>
      </c>
    </row>
    <row r="17" spans="1:12">
      <c r="A17" s="45" t="s">
        <v>138</v>
      </c>
      <c r="B17" s="45">
        <v>2022</v>
      </c>
      <c r="C17" s="45">
        <v>2023</v>
      </c>
      <c r="D17" s="45">
        <v>2024</v>
      </c>
      <c r="E17" s="45" t="s">
        <v>131</v>
      </c>
      <c r="F17" s="45" t="s">
        <v>132</v>
      </c>
      <c r="G17" s="45" t="s">
        <v>133</v>
      </c>
      <c r="H17" s="45" t="s">
        <v>134</v>
      </c>
      <c r="I17" s="45" t="s">
        <v>135</v>
      </c>
      <c r="J17" s="45" t="s">
        <v>136</v>
      </c>
    </row>
    <row r="18" spans="1:12">
      <c r="A18" s="43" t="s">
        <v>96</v>
      </c>
      <c r="B18" s="42">
        <v>1721795.17</v>
      </c>
      <c r="C18" s="42">
        <v>9447415.5800000001</v>
      </c>
      <c r="D18" s="42">
        <v>-8679563.0199999996</v>
      </c>
      <c r="E18" s="9">
        <f t="shared" si="0"/>
        <v>7725620.4100000001</v>
      </c>
      <c r="F18" s="9">
        <f t="shared" si="1"/>
        <v>-18126978.600000001</v>
      </c>
      <c r="G18" s="44">
        <f t="shared" si="2"/>
        <v>4.4869567208740637</v>
      </c>
      <c r="H18" s="44">
        <f t="shared" si="6"/>
        <v>-1.9187235330659607</v>
      </c>
      <c r="I18" s="44">
        <f t="shared" si="4"/>
        <v>5.4869567208740637</v>
      </c>
      <c r="J18" s="44">
        <f>D18/C18</f>
        <v>-0.91872353306596044</v>
      </c>
    </row>
    <row r="19" spans="1:12">
      <c r="A19" s="43" t="s">
        <v>108</v>
      </c>
      <c r="B19" s="42">
        <v>9159378.7899999991</v>
      </c>
      <c r="C19" s="42">
        <v>6655523.04</v>
      </c>
      <c r="D19" s="42">
        <v>-3076683.41</v>
      </c>
      <c r="E19" s="9">
        <f t="shared" si="0"/>
        <v>-2503855.7499999991</v>
      </c>
      <c r="F19" s="9">
        <f t="shared" si="1"/>
        <v>-9732206.4499999993</v>
      </c>
      <c r="G19" s="44">
        <f t="shared" si="2"/>
        <v>-0.27336523659591977</v>
      </c>
      <c r="H19" s="44">
        <f t="shared" si="6"/>
        <v>-1.4622752248784943</v>
      </c>
      <c r="I19" s="44">
        <f t="shared" si="4"/>
        <v>0.72663476340408029</v>
      </c>
      <c r="J19" s="44">
        <f>D19/C19</f>
        <v>-0.46227522487849432</v>
      </c>
    </row>
    <row r="20" spans="1:12">
      <c r="A20" s="43" t="s">
        <v>123</v>
      </c>
      <c r="B20" s="42">
        <v>-10770302.65</v>
      </c>
      <c r="C20" s="42">
        <v>-227714.38</v>
      </c>
      <c r="D20" s="42">
        <v>-117971.47</v>
      </c>
      <c r="E20" s="9">
        <f t="shared" si="0"/>
        <v>10542588.27</v>
      </c>
      <c r="F20" s="9">
        <f t="shared" si="1"/>
        <v>109742.91</v>
      </c>
      <c r="G20" s="44">
        <f t="shared" si="2"/>
        <v>-0.97885719766658541</v>
      </c>
      <c r="H20" s="44">
        <f t="shared" si="6"/>
        <v>-0.48193227849730003</v>
      </c>
      <c r="I20" s="44">
        <f t="shared" si="4"/>
        <v>2.1142802333414465E-2</v>
      </c>
      <c r="J20" s="44">
        <f>D20/C20</f>
        <v>0.51806772150269997</v>
      </c>
    </row>
    <row r="21" spans="1:12">
      <c r="A21" s="43" t="s">
        <v>124</v>
      </c>
      <c r="B21" s="42">
        <v>110871.31</v>
      </c>
      <c r="C21" s="42">
        <v>15875224.24</v>
      </c>
      <c r="D21" s="42">
        <v>-11874217.9</v>
      </c>
      <c r="E21" s="9">
        <f t="shared" si="0"/>
        <v>15764352.93</v>
      </c>
      <c r="F21" s="9">
        <f t="shared" si="1"/>
        <v>-27749442.140000001</v>
      </c>
      <c r="G21" s="44">
        <f t="shared" si="2"/>
        <v>142.18604371139838</v>
      </c>
      <c r="H21" s="44">
        <f t="shared" si="6"/>
        <v>-1.7479716645564687</v>
      </c>
      <c r="I21" s="44">
        <f t="shared" si="4"/>
        <v>143.18604371139838</v>
      </c>
      <c r="J21" s="44">
        <f>D21/C21</f>
        <v>-0.74797166455646868</v>
      </c>
    </row>
    <row r="30" spans="1:12">
      <c r="E30" s="72" t="s">
        <v>139</v>
      </c>
      <c r="F30" s="73"/>
      <c r="G30" s="73"/>
      <c r="I30" s="74" t="s">
        <v>140</v>
      </c>
      <c r="J30" s="74"/>
      <c r="K30" s="74"/>
      <c r="L30" s="74"/>
    </row>
    <row r="31" spans="1:12">
      <c r="E31" s="73"/>
      <c r="F31" s="73"/>
      <c r="G31" s="73"/>
      <c r="I31" s="74"/>
      <c r="J31" s="74"/>
      <c r="K31" s="74"/>
      <c r="L31" s="74"/>
    </row>
    <row r="32" spans="1:12">
      <c r="A32" s="35" t="s">
        <v>141</v>
      </c>
      <c r="B32" s="35" t="s">
        <v>142</v>
      </c>
      <c r="C32" s="35" t="s">
        <v>143</v>
      </c>
      <c r="D32" s="35" t="s">
        <v>144</v>
      </c>
      <c r="E32" s="36" t="s">
        <v>145</v>
      </c>
      <c r="F32" s="29" t="s">
        <v>146</v>
      </c>
      <c r="G32" s="29" t="s">
        <v>147</v>
      </c>
      <c r="I32" s="50" t="s">
        <v>148</v>
      </c>
      <c r="J32" s="50">
        <v>2022</v>
      </c>
      <c r="K32" s="50">
        <v>2023</v>
      </c>
      <c r="L32" s="50">
        <v>2024</v>
      </c>
    </row>
    <row r="33" spans="1:12">
      <c r="A33" s="27" t="s">
        <v>9</v>
      </c>
      <c r="B33" s="37">
        <v>31211271.84</v>
      </c>
      <c r="C33" s="37">
        <v>30390473.620000001</v>
      </c>
      <c r="D33" s="38">
        <v>24310206.050000001</v>
      </c>
      <c r="E33" s="32">
        <f>B33/$B$54</f>
        <v>0.43251377911753786</v>
      </c>
      <c r="F33" s="30">
        <f>C33/$C$54</f>
        <v>0.42488977134044797</v>
      </c>
      <c r="G33" s="30">
        <f>D33/$D$54</f>
        <v>0.46477082821807364</v>
      </c>
      <c r="I33" s="49" t="s">
        <v>149</v>
      </c>
      <c r="J33" s="49">
        <f>B6/B3</f>
        <v>1.5286700947204976</v>
      </c>
      <c r="K33" s="49">
        <f>C6/C3</f>
        <v>1.577753252204827</v>
      </c>
      <c r="L33" s="49">
        <f>D6/D3</f>
        <v>1.2696495318269834</v>
      </c>
    </row>
    <row r="34" spans="1:12">
      <c r="A34" s="11" t="s">
        <v>10</v>
      </c>
      <c r="B34" s="14">
        <v>184193.99</v>
      </c>
      <c r="C34" s="14">
        <v>184193.99</v>
      </c>
      <c r="D34" s="25">
        <v>184193.99</v>
      </c>
      <c r="E34" s="32">
        <f>B34/$B$54</f>
        <v>2.5524893414800996E-3</v>
      </c>
      <c r="F34" s="30">
        <f>C34/$C$54</f>
        <v>2.5752195662353998E-3</v>
      </c>
      <c r="G34" s="30">
        <f>D34/$D$54</f>
        <v>3.5214836562478071E-3</v>
      </c>
      <c r="I34" s="49" t="s">
        <v>150</v>
      </c>
      <c r="J34" s="49">
        <f>(B6+B7)/B3</f>
        <v>1.7196939671395333</v>
      </c>
      <c r="K34" s="49">
        <f>(C6+C7)/C3</f>
        <v>1.7654685705421396</v>
      </c>
      <c r="L34" s="49">
        <f>(D6+D7)/D3</f>
        <v>1.4911847569469696</v>
      </c>
    </row>
    <row r="35" spans="1:12">
      <c r="A35" s="11" t="s">
        <v>11</v>
      </c>
      <c r="B35" s="14">
        <v>4446486.45</v>
      </c>
      <c r="C35" s="14">
        <v>4406627.9400000004</v>
      </c>
      <c r="D35" s="25">
        <v>8500781.1699999999</v>
      </c>
      <c r="E35" s="32">
        <f>B35/$B$54</f>
        <v>6.1617695944697688E-2</v>
      </c>
      <c r="F35" s="30">
        <f>C35/$C$54</f>
        <v>6.1609146379898685E-2</v>
      </c>
      <c r="G35" s="30">
        <f>D35/$D$54</f>
        <v>0.1625208398791628</v>
      </c>
    </row>
    <row r="36" spans="1:12">
      <c r="A36" s="11" t="s">
        <v>12</v>
      </c>
      <c r="B36" s="14">
        <v>16237944.02</v>
      </c>
      <c r="C36" s="14">
        <v>15044999.039999999</v>
      </c>
      <c r="D36" s="25">
        <v>14156554.890000001</v>
      </c>
      <c r="E36" s="32">
        <f>B36/$B$54</f>
        <v>0.22501917157340759</v>
      </c>
      <c r="F36" s="30">
        <f>C36/$C$54</f>
        <v>0.21034440864113321</v>
      </c>
      <c r="G36" s="30">
        <f>D36/$D$54</f>
        <v>0.27064985493777499</v>
      </c>
    </row>
    <row r="37" spans="1:12">
      <c r="A37" s="11" t="s">
        <v>13</v>
      </c>
      <c r="B37" s="14" t="s">
        <v>14</v>
      </c>
      <c r="C37" s="14" t="s">
        <v>15</v>
      </c>
      <c r="D37" s="25" t="s">
        <v>15</v>
      </c>
      <c r="E37" s="32" t="s">
        <v>15</v>
      </c>
      <c r="F37" s="30" t="s">
        <v>15</v>
      </c>
      <c r="G37" s="30" t="s">
        <v>15</v>
      </c>
    </row>
    <row r="38" spans="1:12">
      <c r="A38" s="11" t="s">
        <v>17</v>
      </c>
      <c r="B38" s="14">
        <v>42602.34</v>
      </c>
      <c r="C38" s="14">
        <v>881125.73</v>
      </c>
      <c r="D38" s="25">
        <v>410947.73</v>
      </c>
      <c r="E38" s="32">
        <f>B38/$B$54</f>
        <v>5.9036681257684516E-4</v>
      </c>
      <c r="F38" s="30">
        <f>C38/$C$54</f>
        <v>1.2319035057601228E-2</v>
      </c>
      <c r="G38" s="30">
        <f>D38/$D$54</f>
        <v>7.8566391594380291E-3</v>
      </c>
    </row>
    <row r="39" spans="1:12">
      <c r="A39" s="11" t="s">
        <v>18</v>
      </c>
      <c r="B39" s="14">
        <v>8376521</v>
      </c>
      <c r="C39" s="14">
        <v>8498239</v>
      </c>
      <c r="D39" s="25">
        <v>0</v>
      </c>
      <c r="E39" s="32">
        <f>B39/$B$54</f>
        <v>0.11607860045370767</v>
      </c>
      <c r="F39" s="30">
        <f>C39/$C$54</f>
        <v>0.11881403595928813</v>
      </c>
      <c r="G39" s="30">
        <f>D39/$D$54</f>
        <v>0</v>
      </c>
    </row>
    <row r="40" spans="1:12">
      <c r="A40" s="11" t="s">
        <v>19</v>
      </c>
      <c r="B40" s="14">
        <v>400000</v>
      </c>
      <c r="C40" s="14">
        <v>400000</v>
      </c>
      <c r="D40" s="25">
        <v>400000</v>
      </c>
      <c r="E40" s="32">
        <f>B40/$B$54</f>
        <v>5.5430458756664091E-3</v>
      </c>
      <c r="F40" s="30">
        <f>C40/$C$54</f>
        <v>5.5924073662455545E-3</v>
      </c>
      <c r="G40" s="30">
        <f>D40/$D$54</f>
        <v>7.6473367154874213E-3</v>
      </c>
    </row>
    <row r="41" spans="1:12">
      <c r="A41" s="11" t="s">
        <v>20</v>
      </c>
      <c r="B41" s="14">
        <v>1523524.04</v>
      </c>
      <c r="C41" s="14">
        <v>975287.92</v>
      </c>
      <c r="D41" s="25">
        <v>657728.27</v>
      </c>
      <c r="E41" s="32">
        <f>B41/$B$54</f>
        <v>2.1112409116001565E-2</v>
      </c>
      <c r="F41" s="30">
        <f>C41/$C$54</f>
        <v>1.3635518370045762E-2</v>
      </c>
      <c r="G41" s="30">
        <f>D41/$D$54</f>
        <v>1.257467386996256E-2</v>
      </c>
    </row>
    <row r="42" spans="1:12">
      <c r="A42" s="11" t="s">
        <v>21</v>
      </c>
      <c r="B42" s="14" t="s">
        <v>14</v>
      </c>
      <c r="C42" s="14" t="s">
        <v>15</v>
      </c>
      <c r="D42" s="25" t="s">
        <v>15</v>
      </c>
      <c r="E42" s="32" t="s">
        <v>15</v>
      </c>
      <c r="F42" s="30" t="s">
        <v>15</v>
      </c>
      <c r="G42" s="30" t="s">
        <v>15</v>
      </c>
    </row>
    <row r="43" spans="1:12">
      <c r="A43" s="10" t="s">
        <v>22</v>
      </c>
      <c r="B43" s="19">
        <v>40951219.5</v>
      </c>
      <c r="C43" s="19">
        <v>41135074.109999999</v>
      </c>
      <c r="D43" s="26">
        <v>27995585.48</v>
      </c>
      <c r="E43" s="32">
        <f>B43/$B$54</f>
        <v>0.56748622088246214</v>
      </c>
      <c r="F43" s="30">
        <f>C43/$C$54</f>
        <v>0.57511022865955197</v>
      </c>
      <c r="G43" s="30">
        <f>D43/$D$54</f>
        <v>0.53522917178192642</v>
      </c>
      <c r="I43" s="74" t="s">
        <v>151</v>
      </c>
      <c r="J43" s="74"/>
      <c r="K43" s="74"/>
      <c r="L43" s="74"/>
    </row>
    <row r="44" spans="1:12">
      <c r="A44" s="11" t="s">
        <v>23</v>
      </c>
      <c r="B44" s="14">
        <v>2912656.06</v>
      </c>
      <c r="C44" s="14">
        <v>1535369.12</v>
      </c>
      <c r="D44" s="25">
        <v>1522500.1</v>
      </c>
      <c r="E44" s="32">
        <f>B44/$B$54</f>
        <v>4.0362465401544437E-2</v>
      </c>
      <c r="F44" s="30">
        <f>C44/$C$54</f>
        <v>2.1466023941484887E-2</v>
      </c>
      <c r="G44" s="30">
        <f>D44/$D$54</f>
        <v>2.910767728515818E-2</v>
      </c>
      <c r="I44" s="74"/>
      <c r="J44" s="74"/>
      <c r="K44" s="74"/>
      <c r="L44" s="74"/>
    </row>
    <row r="45" spans="1:12">
      <c r="A45" s="11" t="s">
        <v>24</v>
      </c>
      <c r="B45" s="14">
        <v>18142687.780000001</v>
      </c>
      <c r="C45" s="14">
        <v>12390084.43</v>
      </c>
      <c r="D45" s="25">
        <v>14492915.52</v>
      </c>
      <c r="E45" s="32">
        <f>B45/$B$54</f>
        <v>0.25141437668108091</v>
      </c>
      <c r="F45" s="30">
        <f>C45/$C$54</f>
        <v>0.17322599858684087</v>
      </c>
      <c r="G45" s="30">
        <f>D45/$D$54</f>
        <v>0.27708051242638371</v>
      </c>
      <c r="I45" s="49" t="s">
        <v>152</v>
      </c>
      <c r="J45" s="49" t="s">
        <v>153</v>
      </c>
      <c r="K45" s="49" t="s">
        <v>154</v>
      </c>
      <c r="L45" s="49" t="s">
        <v>155</v>
      </c>
    </row>
    <row r="46" spans="1:12">
      <c r="A46" s="11" t="s">
        <v>25</v>
      </c>
      <c r="B46" s="14">
        <v>3124218.41</v>
      </c>
      <c r="C46" s="14">
        <v>2267227.17</v>
      </c>
      <c r="D46" s="25">
        <v>3207419.33</v>
      </c>
      <c r="E46" s="32">
        <f>B46/$B$54</f>
        <v>4.3294214930578917E-2</v>
      </c>
      <c r="F46" s="30">
        <f>C46/$C$54</f>
        <v>3.1698144816150152E-2</v>
      </c>
      <c r="G46" s="30">
        <f>D46/$D$54</f>
        <v>6.1320539010682663E-2</v>
      </c>
      <c r="I46" s="49">
        <v>2022</v>
      </c>
      <c r="J46" s="49" t="s">
        <v>156</v>
      </c>
      <c r="K46" s="49" t="s">
        <v>15</v>
      </c>
      <c r="L46" s="49" t="s">
        <v>15</v>
      </c>
    </row>
    <row r="47" spans="1:12">
      <c r="A47" s="11" t="s">
        <v>26</v>
      </c>
      <c r="B47" s="14">
        <v>116295</v>
      </c>
      <c r="C47" s="14">
        <v>57104.25</v>
      </c>
      <c r="D47" s="25">
        <v>363887.9</v>
      </c>
      <c r="E47" s="32">
        <f>B47/$B$54</f>
        <v>1.6115713002765627E-3</v>
      </c>
      <c r="F47" s="30">
        <f>C47/$C$54</f>
        <v>7.983755708598192E-4</v>
      </c>
      <c r="G47" s="30">
        <f>D47/$D$54</f>
        <v>6.956933244979039E-3</v>
      </c>
      <c r="I47" s="49">
        <v>2023</v>
      </c>
      <c r="J47" s="49" t="s">
        <v>156</v>
      </c>
      <c r="K47" s="49" t="s">
        <v>15</v>
      </c>
      <c r="L47" s="49" t="s">
        <v>15</v>
      </c>
    </row>
    <row r="48" spans="1:12">
      <c r="A48" s="11" t="s">
        <v>27</v>
      </c>
      <c r="B48" s="14" t="s">
        <v>14</v>
      </c>
      <c r="C48" s="14" t="s">
        <v>15</v>
      </c>
      <c r="D48" s="25" t="s">
        <v>15</v>
      </c>
      <c r="E48" s="32" t="s">
        <v>15</v>
      </c>
      <c r="F48" s="30" t="s">
        <v>15</v>
      </c>
      <c r="G48" s="30" t="s">
        <v>15</v>
      </c>
      <c r="I48" s="49">
        <v>2024</v>
      </c>
      <c r="J48" s="49" t="s">
        <v>15</v>
      </c>
      <c r="K48" s="49" t="s">
        <v>156</v>
      </c>
      <c r="L48" s="49" t="s">
        <v>15</v>
      </c>
    </row>
    <row r="49" spans="1:7">
      <c r="A49" s="11" t="s">
        <v>28</v>
      </c>
      <c r="B49" s="14">
        <v>277813.45</v>
      </c>
      <c r="C49" s="14">
        <v>271073</v>
      </c>
      <c r="D49" s="25">
        <v>203760.13</v>
      </c>
      <c r="E49" s="32">
        <f>B49/$B$54</f>
        <v>3.8498317455678906E-3</v>
      </c>
      <c r="F49" s="30">
        <f>C49/$C$54</f>
        <v>3.789876604975703E-3</v>
      </c>
      <c r="G49" s="30">
        <f>D49/$D$54</f>
        <v>3.895555808253725E-3</v>
      </c>
    </row>
    <row r="50" spans="1:7">
      <c r="A50" s="11" t="s">
        <v>19</v>
      </c>
      <c r="B50" s="14">
        <v>12281000</v>
      </c>
      <c r="C50" s="14">
        <v>4652656.05</v>
      </c>
      <c r="D50" s="25">
        <v>0</v>
      </c>
      <c r="E50" s="32">
        <f>B50/$B$54</f>
        <v>0.17018536599764794</v>
      </c>
      <c r="F50" s="30">
        <f>C50/$C$54</f>
        <v>6.5048869916567359E-2</v>
      </c>
      <c r="G50" s="30" t="s">
        <v>15</v>
      </c>
    </row>
    <row r="51" spans="1:7">
      <c r="A51" s="11" t="s">
        <v>29</v>
      </c>
      <c r="B51" s="14">
        <v>3517219.95</v>
      </c>
      <c r="C51" s="14">
        <v>19392444.190000001</v>
      </c>
      <c r="D51" s="25">
        <v>7518226.29</v>
      </c>
      <c r="E51" s="32">
        <f>B51/$B$54</f>
        <v>4.8740278844147791E-2</v>
      </c>
      <c r="F51" s="30">
        <f>C51/$C$54</f>
        <v>0.27112611934415454</v>
      </c>
      <c r="G51" s="30">
        <f>D51/$D$54</f>
        <v>0.14373601985714946</v>
      </c>
    </row>
    <row r="52" spans="1:7">
      <c r="A52" s="11" t="s">
        <v>30</v>
      </c>
      <c r="B52" s="14">
        <v>579328.85</v>
      </c>
      <c r="C52" s="14">
        <v>569115.9</v>
      </c>
      <c r="D52" s="25">
        <v>686876.21</v>
      </c>
      <c r="E52" s="32">
        <f>B52/$B$54</f>
        <v>8.0281159816176593E-3</v>
      </c>
      <c r="F52" s="30">
        <f>C52/$C$54</f>
        <v>7.9568198785186714E-3</v>
      </c>
      <c r="G52" s="30">
        <f>D52/$D$54</f>
        <v>1.3131934149319621E-2</v>
      </c>
    </row>
    <row r="53" spans="1:7">
      <c r="A53" s="10" t="s">
        <v>31</v>
      </c>
      <c r="B53" s="19" t="s">
        <v>14</v>
      </c>
      <c r="C53" s="19" t="s">
        <v>15</v>
      </c>
      <c r="D53" s="26" t="s">
        <v>15</v>
      </c>
      <c r="E53" s="32" t="s">
        <v>15</v>
      </c>
      <c r="F53" s="30" t="s">
        <v>15</v>
      </c>
      <c r="G53" s="30" t="s">
        <v>15</v>
      </c>
    </row>
    <row r="54" spans="1:7">
      <c r="A54" s="11" t="s">
        <v>32</v>
      </c>
      <c r="B54" s="14">
        <v>72162491.340000004</v>
      </c>
      <c r="C54" s="14">
        <v>71525547.730000004</v>
      </c>
      <c r="D54" s="25">
        <v>52305791.530000001</v>
      </c>
      <c r="E54" s="32">
        <f>B54/$B$54</f>
        <v>1</v>
      </c>
      <c r="F54" s="30">
        <f>C54/$C$54</f>
        <v>1</v>
      </c>
      <c r="G54" s="30">
        <f>D54/$D$54</f>
        <v>1</v>
      </c>
    </row>
    <row r="55" spans="1:7">
      <c r="E55" s="23"/>
    </row>
    <row r="57" spans="1:7">
      <c r="A57" s="28" t="s">
        <v>157</v>
      </c>
    </row>
    <row r="58" spans="1:7">
      <c r="A58" t="s">
        <v>158</v>
      </c>
    </row>
    <row r="59" spans="1:7">
      <c r="A59" t="s">
        <v>159</v>
      </c>
    </row>
    <row r="60" spans="1:7">
      <c r="A60" t="s">
        <v>160</v>
      </c>
    </row>
    <row r="61" spans="1:7">
      <c r="A61" t="s">
        <v>161</v>
      </c>
    </row>
    <row r="64" spans="1:7">
      <c r="A64" s="65" t="s">
        <v>33</v>
      </c>
      <c r="B64" s="65">
        <v>2022</v>
      </c>
      <c r="C64" s="65">
        <v>2023</v>
      </c>
      <c r="D64" s="71">
        <v>2024</v>
      </c>
      <c r="E64" s="69" t="s">
        <v>162</v>
      </c>
      <c r="F64" s="69" t="s">
        <v>163</v>
      </c>
      <c r="G64" s="69" t="s">
        <v>164</v>
      </c>
    </row>
    <row r="65" spans="1:7">
      <c r="A65" s="66"/>
      <c r="B65" s="66"/>
      <c r="C65" s="66"/>
      <c r="D65" s="64"/>
      <c r="E65" s="69"/>
      <c r="F65" s="69"/>
      <c r="G65" s="69"/>
    </row>
    <row r="66" spans="1:7">
      <c r="A66" s="17" t="s">
        <v>34</v>
      </c>
      <c r="B66" s="18">
        <v>47711737.880000003</v>
      </c>
      <c r="C66" s="18">
        <v>47948668.590000004</v>
      </c>
      <c r="D66" s="24">
        <v>30865441.73</v>
      </c>
      <c r="E66" s="30">
        <f>B66/$B$91</f>
        <v>0.66117087969152699</v>
      </c>
      <c r="F66" s="30">
        <f>C66/$C$91</f>
        <v>0.67037121856095716</v>
      </c>
      <c r="G66" s="30">
        <f>D66/$D$91</f>
        <v>0.59009606445391649</v>
      </c>
    </row>
    <row r="67" spans="1:7">
      <c r="A67" s="11" t="s">
        <v>35</v>
      </c>
      <c r="B67" s="14">
        <v>787150</v>
      </c>
      <c r="C67" s="14">
        <v>787150</v>
      </c>
      <c r="D67" s="25">
        <v>787150</v>
      </c>
      <c r="E67" s="30">
        <f t="shared" ref="E67:E91" si="8">B67/$B$91</f>
        <v>1.0908021402577035E-2</v>
      </c>
      <c r="F67" s="30">
        <f t="shared" ref="F67:F91" si="9">C67/$C$91</f>
        <v>1.100515864585047E-2</v>
      </c>
      <c r="G67" s="30">
        <f t="shared" ref="G67:G91" si="10">D67/$D$91</f>
        <v>1.5049002738989809E-2</v>
      </c>
    </row>
    <row r="68" spans="1:7">
      <c r="A68" s="11" t="s">
        <v>36</v>
      </c>
      <c r="B68" s="14">
        <v>-1095.46</v>
      </c>
      <c r="C68" s="14">
        <v>-1095.46</v>
      </c>
      <c r="D68" s="25">
        <v>-1095.46</v>
      </c>
      <c r="E68" s="30" t="s">
        <v>15</v>
      </c>
      <c r="F68" s="30" t="s">
        <v>15</v>
      </c>
      <c r="G68" s="30" t="s">
        <v>15</v>
      </c>
    </row>
    <row r="69" spans="1:7">
      <c r="A69" s="11" t="s">
        <v>37</v>
      </c>
      <c r="B69" s="14">
        <v>47965951.729999997</v>
      </c>
      <c r="C69" s="14">
        <v>45945067.18</v>
      </c>
      <c r="D69" s="25">
        <v>39357659.82</v>
      </c>
      <c r="E69" s="30">
        <f t="shared" si="8"/>
        <v>0.66469367727347639</v>
      </c>
      <c r="F69" s="30">
        <f t="shared" si="9"/>
        <v>0.64235883035019714</v>
      </c>
      <c r="G69" s="30">
        <f t="shared" si="10"/>
        <v>0.75245319244287512</v>
      </c>
    </row>
    <row r="70" spans="1:7">
      <c r="A70" s="11" t="s">
        <v>38</v>
      </c>
      <c r="B70" s="14">
        <v>980616.16</v>
      </c>
      <c r="C70" s="14">
        <v>980616.16</v>
      </c>
      <c r="D70" s="25">
        <v>980616.16</v>
      </c>
      <c r="E70" s="30">
        <f t="shared" si="8"/>
        <v>1.358900090324958E-2</v>
      </c>
      <c r="F70" s="30">
        <f t="shared" si="9"/>
        <v>1.3710012591608573E-2</v>
      </c>
      <c r="G70" s="30">
        <f t="shared" si="10"/>
        <v>1.874775491042072E-2</v>
      </c>
    </row>
    <row r="71" spans="1:7">
      <c r="A71" s="11" t="s">
        <v>39</v>
      </c>
      <c r="B71" s="14" t="s">
        <v>15</v>
      </c>
      <c r="C71" s="14" t="s">
        <v>15</v>
      </c>
      <c r="D71" s="25" t="s">
        <v>15</v>
      </c>
      <c r="E71" s="30" t="s">
        <v>15</v>
      </c>
      <c r="F71" s="30" t="s">
        <v>15</v>
      </c>
      <c r="G71" s="30" t="s">
        <v>15</v>
      </c>
    </row>
    <row r="72" spans="1:7">
      <c r="A72" s="11" t="s">
        <v>40</v>
      </c>
      <c r="B72" s="14">
        <v>-2020884.55</v>
      </c>
      <c r="C72" s="14">
        <v>236930.71</v>
      </c>
      <c r="D72" s="25">
        <v>-10258888.789999999</v>
      </c>
      <c r="E72" s="30">
        <f t="shared" si="8"/>
        <v>-2.800463942518867E-2</v>
      </c>
      <c r="F72" s="30">
        <f t="shared" si="9"/>
        <v>3.3125326197344729E-3</v>
      </c>
      <c r="G72" s="30">
        <f t="shared" si="10"/>
        <v>-0.19613294225967332</v>
      </c>
    </row>
    <row r="73" spans="1:7">
      <c r="A73" s="11" t="s">
        <v>41</v>
      </c>
      <c r="B73" s="14" t="s">
        <v>15</v>
      </c>
      <c r="C73" s="14" t="s">
        <v>15</v>
      </c>
      <c r="D73" s="25" t="s">
        <v>15</v>
      </c>
      <c r="E73" s="30" t="s">
        <v>15</v>
      </c>
      <c r="F73" s="30" t="s">
        <v>15</v>
      </c>
      <c r="G73" s="30" t="s">
        <v>15</v>
      </c>
    </row>
    <row r="74" spans="1:7">
      <c r="A74" s="10" t="s">
        <v>42</v>
      </c>
      <c r="B74" s="19">
        <v>5962098.0099999998</v>
      </c>
      <c r="C74" s="19">
        <v>5704757.4299999997</v>
      </c>
      <c r="D74" s="26">
        <v>5385566.9699999997</v>
      </c>
      <c r="E74" s="30">
        <f t="shared" si="8"/>
        <v>8.2620456961623512E-2</v>
      </c>
      <c r="F74" s="30">
        <f t="shared" si="9"/>
        <v>7.9758318685440144E-2</v>
      </c>
      <c r="G74" s="30">
        <f t="shared" si="10"/>
        <v>0.10296311005849336</v>
      </c>
    </row>
    <row r="75" spans="1:7" ht="32.1">
      <c r="A75" s="11" t="s">
        <v>43</v>
      </c>
      <c r="B75" s="14" t="s">
        <v>15</v>
      </c>
      <c r="C75" s="14" t="s">
        <v>15</v>
      </c>
      <c r="D75" s="25" t="s">
        <v>15</v>
      </c>
      <c r="E75" s="30" t="s">
        <v>15</v>
      </c>
      <c r="F75" s="31" t="s">
        <v>165</v>
      </c>
      <c r="G75" s="30" t="s">
        <v>15</v>
      </c>
    </row>
    <row r="76" spans="1:7">
      <c r="A76" s="11" t="s">
        <v>44</v>
      </c>
      <c r="B76" s="14">
        <v>17880.63</v>
      </c>
      <c r="C76" s="14" t="s">
        <v>15</v>
      </c>
      <c r="D76" s="25" t="s">
        <v>15</v>
      </c>
      <c r="E76" s="30">
        <f t="shared" si="8"/>
        <v>2.4778288093954266E-4</v>
      </c>
      <c r="F76" s="30" t="s">
        <v>15</v>
      </c>
      <c r="G76" s="30" t="s">
        <v>15</v>
      </c>
    </row>
    <row r="77" spans="1:7">
      <c r="A77" s="11" t="s">
        <v>45</v>
      </c>
      <c r="B77" s="14" t="s">
        <v>15</v>
      </c>
      <c r="C77" s="14" t="s">
        <v>15</v>
      </c>
      <c r="D77" s="25" t="s">
        <v>15</v>
      </c>
      <c r="E77" s="30" t="s">
        <v>15</v>
      </c>
      <c r="F77" s="30" t="s">
        <v>15</v>
      </c>
      <c r="G77" s="30" t="s">
        <v>15</v>
      </c>
    </row>
    <row r="78" spans="1:7">
      <c r="A78" s="11" t="s">
        <v>46</v>
      </c>
      <c r="B78" s="14" t="s">
        <v>15</v>
      </c>
      <c r="C78" s="14" t="s">
        <v>15</v>
      </c>
      <c r="D78" s="25">
        <v>7195.5</v>
      </c>
      <c r="E78" s="30" t="s">
        <v>15</v>
      </c>
      <c r="F78" s="30" t="s">
        <v>15</v>
      </c>
      <c r="G78" s="30">
        <f t="shared" si="10"/>
        <v>1.3756602834072434E-4</v>
      </c>
    </row>
    <row r="79" spans="1:7">
      <c r="A79" s="11" t="s">
        <v>47</v>
      </c>
      <c r="B79" s="14">
        <v>780401.37</v>
      </c>
      <c r="C79" s="14">
        <v>757129.71</v>
      </c>
      <c r="D79" s="25">
        <v>852925.93</v>
      </c>
      <c r="E79" s="30">
        <f t="shared" si="8"/>
        <v>1.0814501488357289E-2</v>
      </c>
      <c r="F79" s="30">
        <f t="shared" si="9"/>
        <v>1.05854444185184E-2</v>
      </c>
      <c r="G79" s="30">
        <f t="shared" si="10"/>
        <v>1.6306529450200637E-2</v>
      </c>
    </row>
    <row r="80" spans="1:7">
      <c r="A80" s="11" t="s">
        <v>48</v>
      </c>
      <c r="B80" s="14">
        <v>112389.85</v>
      </c>
      <c r="C80" s="14">
        <v>140058</v>
      </c>
      <c r="D80" s="25">
        <v>150382</v>
      </c>
      <c r="E80" s="30">
        <f t="shared" si="8"/>
        <v>1.5574552362731661E-3</v>
      </c>
      <c r="F80" s="30">
        <f t="shared" si="9"/>
        <v>1.9581534772540495E-3</v>
      </c>
      <c r="G80" s="30">
        <f t="shared" si="10"/>
        <v>2.8750544748710736E-3</v>
      </c>
    </row>
    <row r="81" spans="1:7">
      <c r="A81" s="11" t="s">
        <v>49</v>
      </c>
      <c r="B81" s="14">
        <v>5051426.16</v>
      </c>
      <c r="C81" s="14">
        <v>4807569.72</v>
      </c>
      <c r="D81" s="25">
        <v>4375063.54</v>
      </c>
      <c r="E81" s="30">
        <f t="shared" si="8"/>
        <v>7.0000717356053524E-2</v>
      </c>
      <c r="F81" s="30">
        <f t="shared" si="9"/>
        <v>6.7214720789667684E-2</v>
      </c>
      <c r="G81" s="30">
        <f t="shared" si="10"/>
        <v>8.3643960105080933E-2</v>
      </c>
    </row>
    <row r="82" spans="1:7">
      <c r="A82" s="10" t="s">
        <v>50</v>
      </c>
      <c r="B82" s="19">
        <v>18488655.449999999</v>
      </c>
      <c r="C82" s="19">
        <v>17872121.710000001</v>
      </c>
      <c r="D82" s="26">
        <v>16054782.83</v>
      </c>
      <c r="E82" s="30">
        <f t="shared" si="8"/>
        <v>0.25620866334684944</v>
      </c>
      <c r="F82" s="30">
        <f t="shared" si="9"/>
        <v>0.24987046275360275</v>
      </c>
      <c r="G82" s="30">
        <f t="shared" si="10"/>
        <v>0.30694082548759011</v>
      </c>
    </row>
    <row r="83" spans="1:7">
      <c r="A83" s="11" t="s">
        <v>43</v>
      </c>
      <c r="B83" s="14">
        <v>437500.12</v>
      </c>
      <c r="C83" s="14" t="s">
        <v>15</v>
      </c>
      <c r="D83" s="25" t="s">
        <v>15</v>
      </c>
      <c r="E83" s="30">
        <f t="shared" si="8"/>
        <v>6.062708089423898E-3</v>
      </c>
      <c r="F83" s="30" t="s">
        <v>15</v>
      </c>
      <c r="G83" s="30" t="s">
        <v>15</v>
      </c>
    </row>
    <row r="84" spans="1:7">
      <c r="A84" s="11" t="s">
        <v>44</v>
      </c>
      <c r="B84" s="14">
        <v>16307.69</v>
      </c>
      <c r="C84" s="14">
        <v>3526.04</v>
      </c>
      <c r="D84" s="25">
        <v>62472.58</v>
      </c>
      <c r="E84" s="30">
        <f t="shared" si="8"/>
        <v>2.2598568449036586E-4</v>
      </c>
      <c r="F84" s="30" t="s">
        <v>15</v>
      </c>
      <c r="G84" s="30">
        <f t="shared" si="10"/>
        <v>1.194372136863063E-3</v>
      </c>
    </row>
    <row r="85" spans="1:7">
      <c r="A85" s="11" t="s">
        <v>45</v>
      </c>
      <c r="B85" s="14">
        <v>11353399.48</v>
      </c>
      <c r="C85" s="14">
        <v>8771943.8900000006</v>
      </c>
      <c r="D85" s="25">
        <v>9246037.0500000007</v>
      </c>
      <c r="E85" s="30">
        <f t="shared" si="8"/>
        <v>0.15733103540601789</v>
      </c>
      <c r="F85" s="30">
        <f t="shared" si="9"/>
        <v>0.12264070906682172</v>
      </c>
      <c r="G85" s="30">
        <f t="shared" si="10"/>
        <v>0.17676889651305502</v>
      </c>
    </row>
    <row r="86" spans="1:7">
      <c r="A86" s="11" t="s">
        <v>51</v>
      </c>
      <c r="B86" s="14">
        <v>2349150.94</v>
      </c>
      <c r="C86" s="14">
        <v>2628587.9900000002</v>
      </c>
      <c r="D86" s="25">
        <v>1911814.85</v>
      </c>
      <c r="E86" s="30">
        <f t="shared" si="8"/>
        <v>3.2553628573212173E-2</v>
      </c>
      <c r="F86" s="30">
        <f t="shared" si="9"/>
        <v>3.6750337095251488E-2</v>
      </c>
      <c r="G86" s="30">
        <f t="shared" si="10"/>
        <v>3.6550729739047695E-2</v>
      </c>
    </row>
    <row r="87" spans="1:7">
      <c r="A87" s="11" t="s">
        <v>52</v>
      </c>
      <c r="B87" s="14" t="s">
        <v>15</v>
      </c>
      <c r="C87" s="14" t="s">
        <v>15</v>
      </c>
      <c r="D87" s="25" t="s">
        <v>15</v>
      </c>
      <c r="E87" s="30" t="s">
        <v>15</v>
      </c>
      <c r="F87" s="30" t="s">
        <v>15</v>
      </c>
      <c r="G87" s="30" t="s">
        <v>15</v>
      </c>
    </row>
    <row r="88" spans="1:7">
      <c r="A88" s="11" t="s">
        <v>53</v>
      </c>
      <c r="B88" s="14">
        <v>3094372.94</v>
      </c>
      <c r="C88" s="14">
        <v>4494376.21</v>
      </c>
      <c r="D88" s="25">
        <v>3490225.21</v>
      </c>
      <c r="E88" s="30">
        <f t="shared" si="8"/>
        <v>4.2880627907101856E-2</v>
      </c>
      <c r="F88" s="30">
        <f t="shared" si="9"/>
        <v>6.283595655870694E-2</v>
      </c>
      <c r="G88" s="30">
        <f t="shared" si="10"/>
        <v>6.6727318484381987E-2</v>
      </c>
    </row>
    <row r="89" spans="1:7">
      <c r="A89" s="11" t="s">
        <v>54</v>
      </c>
      <c r="B89" s="14">
        <v>872188.49</v>
      </c>
      <c r="C89" s="14">
        <v>1531339.02</v>
      </c>
      <c r="D89" s="25">
        <v>919061.72</v>
      </c>
      <c r="E89" s="30">
        <f t="shared" si="8"/>
        <v>1.2086452030745534E-2</v>
      </c>
      <c r="F89" s="30">
        <f t="shared" si="9"/>
        <v>2.1409679039168121E-2</v>
      </c>
      <c r="G89" s="30">
        <f t="shared" si="10"/>
        <v>1.757093608788755E-2</v>
      </c>
    </row>
    <row r="90" spans="1:7">
      <c r="A90" s="11" t="s">
        <v>55</v>
      </c>
      <c r="B90" s="14">
        <v>365735.79</v>
      </c>
      <c r="C90" s="14">
        <v>442348.56</v>
      </c>
      <c r="D90" s="25">
        <v>425171.42</v>
      </c>
      <c r="E90" s="30">
        <f t="shared" si="8"/>
        <v>5.0682256558577396E-3</v>
      </c>
      <c r="F90" s="30">
        <f t="shared" si="9"/>
        <v>6.1844833634802834E-3</v>
      </c>
      <c r="G90" s="30">
        <f t="shared" si="10"/>
        <v>8.1285725263548075E-3</v>
      </c>
    </row>
    <row r="91" spans="1:7">
      <c r="A91" s="10" t="s">
        <v>56</v>
      </c>
      <c r="B91" s="19">
        <v>72162491.340000004</v>
      </c>
      <c r="C91" s="19">
        <v>71525547.730000004</v>
      </c>
      <c r="D91" s="26">
        <v>52305791.530000001</v>
      </c>
      <c r="E91" s="30">
        <f t="shared" si="8"/>
        <v>1</v>
      </c>
      <c r="F91" s="30">
        <f t="shared" si="9"/>
        <v>1</v>
      </c>
      <c r="G91" s="30">
        <f t="shared" si="10"/>
        <v>1</v>
      </c>
    </row>
    <row r="93" spans="1:7">
      <c r="A93" s="33" t="s">
        <v>157</v>
      </c>
    </row>
    <row r="94" spans="1:7">
      <c r="A94" t="s">
        <v>166</v>
      </c>
    </row>
    <row r="95" spans="1:7">
      <c r="A95" t="s">
        <v>167</v>
      </c>
    </row>
    <row r="96" spans="1:7">
      <c r="A96" t="s">
        <v>168</v>
      </c>
    </row>
    <row r="97" spans="1:7">
      <c r="A97" s="33" t="s">
        <v>169</v>
      </c>
    </row>
    <row r="100" spans="1:7">
      <c r="A100" s="65" t="s">
        <v>57</v>
      </c>
      <c r="B100" s="65">
        <v>2022</v>
      </c>
      <c r="C100" s="65">
        <v>2023</v>
      </c>
      <c r="D100" s="71">
        <v>2024</v>
      </c>
      <c r="E100" s="69" t="s">
        <v>170</v>
      </c>
      <c r="F100" s="69" t="s">
        <v>171</v>
      </c>
      <c r="G100" s="68" t="s">
        <v>172</v>
      </c>
    </row>
    <row r="101" spans="1:7">
      <c r="A101" s="66" t="s">
        <v>58</v>
      </c>
      <c r="B101" s="66"/>
      <c r="C101" s="66"/>
      <c r="D101" s="64"/>
      <c r="E101" s="69"/>
      <c r="F101" s="69"/>
      <c r="G101" s="69"/>
    </row>
    <row r="102" spans="1:7">
      <c r="A102" s="17" t="s">
        <v>59</v>
      </c>
      <c r="B102" s="18">
        <v>85736590.790000007</v>
      </c>
      <c r="C102" s="18">
        <v>90843656.659999996</v>
      </c>
      <c r="D102" s="24">
        <v>70301360.450000003</v>
      </c>
      <c r="E102" s="34">
        <f>B102/$B$102</f>
        <v>1</v>
      </c>
      <c r="F102" s="34">
        <f>C102/$C$102</f>
        <v>1</v>
      </c>
      <c r="G102" s="34">
        <f>D102/$D$102</f>
        <v>1</v>
      </c>
    </row>
    <row r="103" spans="1:7">
      <c r="A103" s="11" t="s">
        <v>60</v>
      </c>
      <c r="B103" s="14">
        <v>37037834.539999999</v>
      </c>
      <c r="C103" s="14">
        <v>37606721.259999998</v>
      </c>
      <c r="D103" s="25">
        <v>27948525.41</v>
      </c>
      <c r="E103" s="34">
        <f t="shared" ref="E103:E123" si="11">B103/$B$102</f>
        <v>0.43199565318288763</v>
      </c>
      <c r="F103" s="34">
        <f t="shared" ref="F103:F123" si="12">C103/$C$102</f>
        <v>0.41397190120550131</v>
      </c>
      <c r="G103" s="34">
        <f t="shared" ref="G103:G123" si="13">D103/$D$102</f>
        <v>0.39755312317003672</v>
      </c>
    </row>
    <row r="104" spans="1:7">
      <c r="A104" s="11" t="s">
        <v>61</v>
      </c>
      <c r="B104" s="14">
        <v>48698756.25</v>
      </c>
      <c r="C104" s="14">
        <v>53236935.399999999</v>
      </c>
      <c r="D104" s="25">
        <v>42352835.039999999</v>
      </c>
      <c r="E104" s="34">
        <f t="shared" si="11"/>
        <v>0.56800434681711232</v>
      </c>
      <c r="F104" s="34">
        <f t="shared" si="12"/>
        <v>0.58602809879449869</v>
      </c>
      <c r="G104" s="34">
        <f t="shared" si="13"/>
        <v>0.60244687682996323</v>
      </c>
    </row>
    <row r="105" spans="1:7">
      <c r="A105" s="10" t="s">
        <v>62</v>
      </c>
      <c r="B105" s="19">
        <v>67645019.200000003</v>
      </c>
      <c r="C105" s="19">
        <v>67625893.180000007</v>
      </c>
      <c r="D105" s="26">
        <v>57682822.090000004</v>
      </c>
      <c r="E105" s="34">
        <f t="shared" si="11"/>
        <v>0.78898657593800503</v>
      </c>
      <c r="F105" s="34">
        <f t="shared" si="12"/>
        <v>0.74442064164263033</v>
      </c>
      <c r="G105" s="34">
        <f t="shared" si="13"/>
        <v>0.82050790654364925</v>
      </c>
    </row>
    <row r="106" spans="1:7">
      <c r="A106" s="11" t="s">
        <v>63</v>
      </c>
      <c r="B106" s="14">
        <v>28317185.960000001</v>
      </c>
      <c r="C106" s="14">
        <v>25716203.620000001</v>
      </c>
      <c r="D106" s="25">
        <v>24168092.5</v>
      </c>
      <c r="E106" s="34">
        <f t="shared" si="11"/>
        <v>0.33028122181063924</v>
      </c>
      <c r="F106" s="34">
        <f t="shared" si="12"/>
        <v>0.28308199565598596</v>
      </c>
      <c r="G106" s="34">
        <f t="shared" si="13"/>
        <v>0.3437784467512392</v>
      </c>
    </row>
    <row r="107" spans="1:7">
      <c r="A107" s="11" t="s">
        <v>64</v>
      </c>
      <c r="B107" s="14">
        <v>39327833.240000002</v>
      </c>
      <c r="C107" s="14">
        <v>41909689.560000002</v>
      </c>
      <c r="D107" s="25">
        <v>33514729.59</v>
      </c>
      <c r="E107" s="34">
        <f t="shared" si="11"/>
        <v>0.45870535412736579</v>
      </c>
      <c r="F107" s="34">
        <f t="shared" si="12"/>
        <v>0.46133864598664431</v>
      </c>
      <c r="G107" s="34">
        <f t="shared" si="13"/>
        <v>0.47672945979240999</v>
      </c>
    </row>
    <row r="108" spans="1:7">
      <c r="A108" s="10" t="s">
        <v>65</v>
      </c>
      <c r="B108" s="19">
        <v>18091571.59</v>
      </c>
      <c r="C108" s="19">
        <v>23217763.48</v>
      </c>
      <c r="D108" s="26">
        <v>12618538.359999999</v>
      </c>
      <c r="E108" s="34">
        <f t="shared" si="11"/>
        <v>0.21101342406199491</v>
      </c>
      <c r="F108" s="34">
        <f t="shared" si="12"/>
        <v>0.25557935835736978</v>
      </c>
      <c r="G108" s="34">
        <f t="shared" si="13"/>
        <v>0.17949209345635073</v>
      </c>
    </row>
    <row r="109" spans="1:7">
      <c r="A109" s="11" t="s">
        <v>66</v>
      </c>
      <c r="B109" s="14">
        <v>12083843.57</v>
      </c>
      <c r="C109" s="14">
        <v>15906492.720000001</v>
      </c>
      <c r="D109" s="25">
        <v>16323370.470000001</v>
      </c>
      <c r="E109" s="34">
        <f t="shared" si="11"/>
        <v>0.14094149835742495</v>
      </c>
      <c r="F109" s="34">
        <f t="shared" si="12"/>
        <v>0.17509745099245769</v>
      </c>
      <c r="G109" s="34">
        <f t="shared" si="13"/>
        <v>0.23219138812554801</v>
      </c>
    </row>
    <row r="110" spans="1:7">
      <c r="A110" s="11" t="s">
        <v>67</v>
      </c>
      <c r="B110" s="14">
        <v>5990086.8700000001</v>
      </c>
      <c r="C110" s="14">
        <v>7131351.4299999997</v>
      </c>
      <c r="D110" s="25">
        <v>7712893.1399999997</v>
      </c>
      <c r="E110" s="34">
        <f t="shared" si="11"/>
        <v>6.9866165831947935E-2</v>
      </c>
      <c r="F110" s="34">
        <f t="shared" si="12"/>
        <v>7.8501369189600823E-2</v>
      </c>
      <c r="G110" s="34">
        <f t="shared" si="13"/>
        <v>0.10971186177094812</v>
      </c>
    </row>
    <row r="111" spans="1:7">
      <c r="A111" s="10" t="s">
        <v>68</v>
      </c>
      <c r="B111" s="19">
        <v>17641.150000000001</v>
      </c>
      <c r="C111" s="19">
        <v>179919.33</v>
      </c>
      <c r="D111" s="26">
        <v>-11417725.25</v>
      </c>
      <c r="E111" s="34">
        <f t="shared" si="11"/>
        <v>2.0575987262205905E-4</v>
      </c>
      <c r="F111" s="34">
        <f t="shared" si="12"/>
        <v>1.9805381753112711E-3</v>
      </c>
      <c r="G111" s="34">
        <f t="shared" si="13"/>
        <v>-0.16241115644014539</v>
      </c>
    </row>
    <row r="112" spans="1:7">
      <c r="A112" s="11" t="s">
        <v>69</v>
      </c>
      <c r="B112" s="14">
        <v>516648.39</v>
      </c>
      <c r="C112" s="14">
        <v>661748.6</v>
      </c>
      <c r="D112" s="25">
        <v>790411.1</v>
      </c>
      <c r="E112" s="34">
        <f t="shared" si="11"/>
        <v>6.0259964297561027E-3</v>
      </c>
      <c r="F112" s="34">
        <f t="shared" si="12"/>
        <v>7.2844777976818174E-3</v>
      </c>
      <c r="G112" s="34">
        <f t="shared" si="13"/>
        <v>1.1243183559188149E-2</v>
      </c>
    </row>
    <row r="113" spans="1:7">
      <c r="A113" s="11" t="s">
        <v>70</v>
      </c>
      <c r="B113" s="14">
        <v>374932.66</v>
      </c>
      <c r="C113" s="14">
        <v>352808.11</v>
      </c>
      <c r="D113" s="25">
        <v>326715.96000000002</v>
      </c>
      <c r="E113" s="34">
        <f t="shared" si="11"/>
        <v>4.3730763790030555E-3</v>
      </c>
      <c r="F113" s="34">
        <f t="shared" si="12"/>
        <v>3.8836845958375803E-3</v>
      </c>
      <c r="G113" s="34">
        <f t="shared" si="13"/>
        <v>4.6473632645042222E-3</v>
      </c>
    </row>
    <row r="114" spans="1:7">
      <c r="A114" s="10" t="s">
        <v>71</v>
      </c>
      <c r="B114" s="19">
        <v>159356.88</v>
      </c>
      <c r="C114" s="19">
        <v>488859.82</v>
      </c>
      <c r="D114" s="26">
        <v>-10954030.109999999</v>
      </c>
      <c r="E114" s="34">
        <f t="shared" si="11"/>
        <v>1.8586799233751058E-3</v>
      </c>
      <c r="F114" s="34">
        <f t="shared" si="12"/>
        <v>5.3813313771555087E-3</v>
      </c>
      <c r="G114" s="34">
        <f t="shared" si="13"/>
        <v>-0.15581533614546145</v>
      </c>
    </row>
    <row r="115" spans="1:7">
      <c r="A115" s="11" t="s">
        <v>72</v>
      </c>
      <c r="B115" s="14">
        <v>800524.02</v>
      </c>
      <c r="C115" s="14">
        <v>917280.61</v>
      </c>
      <c r="D115" s="25">
        <v>1161814.6399999999</v>
      </c>
      <c r="E115" s="34">
        <f t="shared" si="11"/>
        <v>9.3370171664601594E-3</v>
      </c>
      <c r="F115" s="34">
        <f t="shared" si="12"/>
        <v>1.0097354550941301E-2</v>
      </c>
      <c r="G115" s="34">
        <f t="shared" si="13"/>
        <v>1.6526204223690808E-2</v>
      </c>
    </row>
    <row r="116" spans="1:7">
      <c r="A116" s="21" t="s">
        <v>73</v>
      </c>
      <c r="B116" s="14">
        <v>3560674.74</v>
      </c>
      <c r="C116" s="14">
        <v>300042.26</v>
      </c>
      <c r="D116" s="25">
        <v>41177.019999999997</v>
      </c>
      <c r="E116" s="34">
        <f t="shared" si="11"/>
        <v>4.1530398015491236E-2</v>
      </c>
      <c r="F116" s="34">
        <f t="shared" si="12"/>
        <v>3.3028421689691155E-3</v>
      </c>
      <c r="G116" s="34">
        <f t="shared" si="13"/>
        <v>5.8572152425536729E-4</v>
      </c>
    </row>
    <row r="117" spans="1:7">
      <c r="A117" s="11" t="s">
        <v>74</v>
      </c>
      <c r="B117" s="20">
        <v>0</v>
      </c>
      <c r="C117" s="14">
        <v>0</v>
      </c>
      <c r="D117" s="25">
        <v>0</v>
      </c>
      <c r="E117" s="34">
        <f t="shared" si="11"/>
        <v>0</v>
      </c>
      <c r="F117" s="34">
        <f t="shared" si="12"/>
        <v>0</v>
      </c>
      <c r="G117" s="34">
        <f t="shared" si="13"/>
        <v>0</v>
      </c>
    </row>
    <row r="118" spans="1:7">
      <c r="A118" s="22" t="s">
        <v>75</v>
      </c>
      <c r="B118" s="19">
        <v>-2600793.84</v>
      </c>
      <c r="C118" s="19">
        <v>1106098.17</v>
      </c>
      <c r="D118" s="26">
        <v>-9833392.4900000002</v>
      </c>
      <c r="E118" s="34">
        <f t="shared" si="11"/>
        <v>-3.0334700925655964E-2</v>
      </c>
      <c r="F118" s="34">
        <f t="shared" si="12"/>
        <v>1.2175843759127693E-2</v>
      </c>
      <c r="G118" s="34">
        <f t="shared" si="13"/>
        <v>-0.13987485344602602</v>
      </c>
    </row>
    <row r="119" spans="1:7">
      <c r="A119" s="11" t="s">
        <v>76</v>
      </c>
      <c r="B119" s="14">
        <v>-579909.29</v>
      </c>
      <c r="C119" s="14">
        <v>869167.46</v>
      </c>
      <c r="D119" s="25">
        <v>425496.3</v>
      </c>
      <c r="E119" s="34">
        <f t="shared" si="11"/>
        <v>-6.7638482549464574E-3</v>
      </c>
      <c r="F119" s="34">
        <f t="shared" si="12"/>
        <v>9.5677286885646595E-3</v>
      </c>
      <c r="G119" s="34">
        <f t="shared" si="13"/>
        <v>6.0524618197484682E-3</v>
      </c>
    </row>
    <row r="120" spans="1:7">
      <c r="A120" s="10" t="s">
        <v>77</v>
      </c>
      <c r="B120" s="19">
        <v>-2020884.55</v>
      </c>
      <c r="C120" s="19">
        <v>236930.71</v>
      </c>
      <c r="D120" s="26">
        <v>-10258888.789999999</v>
      </c>
      <c r="E120" s="34">
        <f t="shared" si="11"/>
        <v>-2.3570852670709509E-2</v>
      </c>
      <c r="F120" s="34">
        <f t="shared" si="12"/>
        <v>2.6081150705630348E-3</v>
      </c>
      <c r="G120" s="34">
        <f t="shared" si="13"/>
        <v>-0.14592731526577446</v>
      </c>
    </row>
    <row r="121" spans="1:7">
      <c r="A121" s="10" t="s">
        <v>78</v>
      </c>
      <c r="B121" s="19">
        <v>0</v>
      </c>
      <c r="C121" s="19">
        <v>0</v>
      </c>
      <c r="D121" s="26">
        <v>0</v>
      </c>
      <c r="E121" s="34">
        <f t="shared" si="11"/>
        <v>0</v>
      </c>
      <c r="F121" s="34">
        <f t="shared" si="12"/>
        <v>0</v>
      </c>
      <c r="G121" s="34">
        <f t="shared" si="13"/>
        <v>0</v>
      </c>
    </row>
    <row r="122" spans="1:7">
      <c r="A122" s="11" t="s">
        <v>79</v>
      </c>
      <c r="B122" s="14">
        <v>0</v>
      </c>
      <c r="C122" s="14">
        <v>0</v>
      </c>
      <c r="D122" s="25">
        <v>0</v>
      </c>
      <c r="E122" s="34">
        <f t="shared" si="11"/>
        <v>0</v>
      </c>
      <c r="F122" s="34">
        <f t="shared" si="12"/>
        <v>0</v>
      </c>
      <c r="G122" s="34">
        <f t="shared" si="13"/>
        <v>0</v>
      </c>
    </row>
    <row r="123" spans="1:7">
      <c r="A123" s="10" t="s">
        <v>80</v>
      </c>
      <c r="B123" s="19">
        <v>-2020884.55</v>
      </c>
      <c r="C123" s="19">
        <v>236930.71</v>
      </c>
      <c r="D123" s="26">
        <v>-10258888.789999999</v>
      </c>
      <c r="E123" s="34">
        <f t="shared" si="11"/>
        <v>-2.3570852670709509E-2</v>
      </c>
      <c r="F123" s="34">
        <f t="shared" si="12"/>
        <v>2.6081150705630348E-3</v>
      </c>
      <c r="G123" s="34">
        <f t="shared" si="13"/>
        <v>-0.14592731526577446</v>
      </c>
    </row>
    <row r="125" spans="1:7">
      <c r="A125" t="s">
        <v>157</v>
      </c>
    </row>
    <row r="126" spans="1:7">
      <c r="A126" t="s">
        <v>173</v>
      </c>
    </row>
    <row r="127" spans="1:7">
      <c r="A127" t="s">
        <v>174</v>
      </c>
    </row>
  </sheetData>
  <mergeCells count="18">
    <mergeCell ref="I43:L44"/>
    <mergeCell ref="F100:F101"/>
    <mergeCell ref="G100:G101"/>
    <mergeCell ref="E64:E65"/>
    <mergeCell ref="A1:J1"/>
    <mergeCell ref="A100:A101"/>
    <mergeCell ref="B100:B101"/>
    <mergeCell ref="C100:C101"/>
    <mergeCell ref="D100:D101"/>
    <mergeCell ref="E100:E101"/>
    <mergeCell ref="E30:G31"/>
    <mergeCell ref="A64:A65"/>
    <mergeCell ref="B64:B65"/>
    <mergeCell ref="C64:C65"/>
    <mergeCell ref="D64:D65"/>
    <mergeCell ref="F64:F65"/>
    <mergeCell ref="G64:G65"/>
    <mergeCell ref="I30:L3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16C46-A7E5-4E43-A516-25D93D237909}">
  <dimension ref="A1:J16"/>
  <sheetViews>
    <sheetView topLeftCell="A9" zoomScale="164" zoomScaleNormal="164" workbookViewId="0">
      <selection activeCell="F5" sqref="F5"/>
    </sheetView>
  </sheetViews>
  <sheetFormatPr defaultColWidth="8.85546875" defaultRowHeight="15"/>
  <cols>
    <col min="1" max="2" width="16.42578125" customWidth="1"/>
    <col min="3" max="3" width="47.42578125" customWidth="1"/>
    <col min="4" max="4" width="53.42578125" customWidth="1"/>
    <col min="5" max="5" width="31.85546875" customWidth="1"/>
    <col min="6" max="8" width="14.42578125" customWidth="1"/>
    <col min="10" max="10" width="106.140625" customWidth="1"/>
  </cols>
  <sheetData>
    <row r="1" spans="1:10">
      <c r="A1" s="84" t="s">
        <v>175</v>
      </c>
      <c r="B1" s="85"/>
      <c r="C1" s="82" t="s">
        <v>176</v>
      </c>
      <c r="D1" s="88" t="s">
        <v>177</v>
      </c>
      <c r="E1" s="82" t="s">
        <v>178</v>
      </c>
      <c r="F1" s="88" t="s">
        <v>179</v>
      </c>
      <c r="G1" s="88" t="s">
        <v>180</v>
      </c>
      <c r="H1" s="88" t="s">
        <v>181</v>
      </c>
      <c r="J1" s="75" t="s">
        <v>182</v>
      </c>
    </row>
    <row r="2" spans="1:10">
      <c r="A2" s="86"/>
      <c r="B2" s="87"/>
      <c r="C2" s="83"/>
      <c r="D2" s="89"/>
      <c r="E2" s="83"/>
      <c r="F2" s="89"/>
      <c r="G2" s="90"/>
      <c r="H2" s="90"/>
      <c r="J2" s="75"/>
    </row>
    <row r="3" spans="1:10" ht="33" customHeight="1">
      <c r="A3" s="76" t="s">
        <v>183</v>
      </c>
      <c r="B3" s="77"/>
      <c r="C3" s="46" t="s">
        <v>184</v>
      </c>
      <c r="D3" s="47" t="s">
        <v>185</v>
      </c>
      <c r="E3" s="48">
        <v>12.82</v>
      </c>
      <c r="F3" s="39"/>
      <c r="G3" s="39">
        <f>('RZIS &amp; CASHFLOW &amp; BILANS'!E75*100*2)/('RZIS &amp; CASHFLOW &amp; BILANS'!D26+'RZIS &amp; CASHFLOW &amp; BILANS'!E26)</f>
        <v>0.68044608746013147</v>
      </c>
      <c r="H3" s="39">
        <f>('RZIS &amp; CASHFLOW &amp; BILANS'!F75*100*2)/('RZIS &amp; CASHFLOW &amp; BILANS'!E26+'RZIS &amp; CASHFLOW &amp; BILANS'!F26)</f>
        <v>-17.691854381063568</v>
      </c>
      <c r="J3" s="51" t="s">
        <v>186</v>
      </c>
    </row>
    <row r="4" spans="1:10" ht="28.5" customHeight="1">
      <c r="A4" s="78"/>
      <c r="B4" s="79"/>
      <c r="C4" s="46" t="s">
        <v>187</v>
      </c>
      <c r="D4" s="47" t="s">
        <v>188</v>
      </c>
      <c r="E4" s="48">
        <v>20.059999999999999</v>
      </c>
      <c r="F4" s="39"/>
      <c r="G4" s="39">
        <f>('RZIS &amp; CASHFLOW &amp; BILANS'!E81*100*2)/('RZIS &amp; CASHFLOW &amp; BILANS'!D32+'RZIS &amp; CASHFLOW &amp; BILANS'!E32)</f>
        <v>0.49535794116514381</v>
      </c>
      <c r="H4" s="39">
        <f>('RZIS &amp; CASHFLOW &amp; BILANS'!F81*100*2)/('RZIS &amp; CASHFLOW &amp; BILANS'!E32+'RZIS &amp; CASHFLOW &amp; BILANS'!F32)</f>
        <v>-26.0331271858478</v>
      </c>
      <c r="J4" s="51" t="s">
        <v>189</v>
      </c>
    </row>
    <row r="5" spans="1:10">
      <c r="A5" s="78"/>
      <c r="B5" s="79"/>
      <c r="C5" s="46" t="s">
        <v>190</v>
      </c>
      <c r="D5" s="47" t="s">
        <v>191</v>
      </c>
      <c r="E5" s="48">
        <v>5.26</v>
      </c>
      <c r="F5" s="39">
        <f>'RZIS &amp; CASHFLOW &amp; BILANS'!D84*100/'RZIS &amp; CASHFLOW &amp; BILANS'!D63</f>
        <v>-2.3570852670709508</v>
      </c>
      <c r="G5" s="39">
        <f>'RZIS &amp; CASHFLOW &amp; BILANS'!E84*100/'RZIS &amp; CASHFLOW &amp; BILANS'!E63</f>
        <v>0.26081150705630346</v>
      </c>
      <c r="H5" s="39">
        <f>'RZIS &amp; CASHFLOW &amp; BILANS'!F84*100/'RZIS &amp; CASHFLOW &amp; BILANS'!F63</f>
        <v>-14.592731526577447</v>
      </c>
      <c r="J5" s="51" t="s">
        <v>192</v>
      </c>
    </row>
    <row r="6" spans="1:10" ht="37.5" customHeight="1">
      <c r="A6" s="78"/>
      <c r="B6" s="79"/>
      <c r="C6" s="46" t="s">
        <v>193</v>
      </c>
      <c r="D6" s="47" t="s">
        <v>194</v>
      </c>
      <c r="E6" s="48">
        <v>6.32</v>
      </c>
      <c r="F6" s="39">
        <f>'RZIS &amp; CASHFLOW &amp; BILANS'!D72*100/'RZIS &amp; CASHFLOW &amp; BILANS'!D63</f>
        <v>2.0575987262205903E-2</v>
      </c>
      <c r="G6" s="39">
        <f>'RZIS &amp; CASHFLOW &amp; BILANS'!E72*100/'RZIS &amp; CASHFLOW &amp; BILANS'!E63</f>
        <v>0.19805381753112711</v>
      </c>
      <c r="H6" s="39">
        <f>'RZIS &amp; CASHFLOW &amp; BILANS'!F72*100/'RZIS &amp; CASHFLOW &amp; BILANS'!F63</f>
        <v>-16.241115644014538</v>
      </c>
      <c r="J6" s="51" t="s">
        <v>195</v>
      </c>
    </row>
    <row r="7" spans="1:10" ht="55.5" customHeight="1">
      <c r="A7" s="80"/>
      <c r="B7" s="81"/>
      <c r="C7" s="46" t="s">
        <v>196</v>
      </c>
      <c r="D7" s="47" t="s">
        <v>197</v>
      </c>
      <c r="E7" s="48">
        <v>7.88</v>
      </c>
      <c r="F7" s="39">
        <f>('RZIS &amp; CASHFLOW &amp; BILANS'!D75+'RZIS &amp; CASHFLOW &amp; BILANS'!D93)*100/('RZIS &amp; CASHFLOW &amp; BILANS'!D63+'RZIS &amp; CASHFLOW &amp; BILANS'!D73)</f>
        <v>3.0354590098769196</v>
      </c>
      <c r="G7" s="39">
        <f>('RZIS &amp; CASHFLOW &amp; BILANS'!E75+'RZIS &amp; CASHFLOW &amp; BILANS'!E93)*100/('RZIS &amp; CASHFLOW &amp; BILANS'!E63+'RZIS &amp; CASHFLOW &amp; BILANS'!E73)</f>
        <v>3.7902301182595739</v>
      </c>
      <c r="H7" s="39">
        <f>('RZIS &amp; CASHFLOW &amp; BILANS'!F75+'RZIS &amp; CASHFLOW &amp; BILANS'!F93)*100/('RZIS &amp; CASHFLOW &amp; BILANS'!F63+'RZIS &amp; CASHFLOW &amp; BILANS'!F73)</f>
        <v>-6.8980642669045995</v>
      </c>
      <c r="J7" s="51"/>
    </row>
    <row r="8" spans="1:10" ht="66" customHeight="1">
      <c r="A8" s="76" t="s">
        <v>198</v>
      </c>
      <c r="B8" s="77"/>
      <c r="C8" s="46" t="s">
        <v>199</v>
      </c>
      <c r="D8" s="47" t="s">
        <v>200</v>
      </c>
      <c r="E8" s="48">
        <v>2.73</v>
      </c>
      <c r="F8" s="39">
        <f>'RZIS &amp; CASHFLOW &amp; BILANS'!D15/'RZIS &amp; CASHFLOW &amp; BILANS'!D48</f>
        <v>2.2149376741184281</v>
      </c>
      <c r="G8" s="39">
        <f>'RZIS &amp; CASHFLOW &amp; BILANS'!E15/'RZIS &amp; CASHFLOW &amp; BILANS'!E48</f>
        <v>2.3016335037033495</v>
      </c>
      <c r="H8" s="39">
        <f>'RZIS &amp; CASHFLOW &amp; BILANS'!F15/'RZIS &amp; CASHFLOW &amp; BILANS'!F48</f>
        <v>1.7437536076593569</v>
      </c>
      <c r="J8" s="51" t="s">
        <v>201</v>
      </c>
    </row>
    <row r="9" spans="1:10" ht="130.5" customHeight="1">
      <c r="A9" s="78"/>
      <c r="B9" s="79"/>
      <c r="C9" s="46" t="s">
        <v>202</v>
      </c>
      <c r="D9" s="47" t="s">
        <v>203</v>
      </c>
      <c r="E9" s="48">
        <v>2.48</v>
      </c>
      <c r="F9" s="39">
        <f>('RZIS &amp; CASHFLOW &amp; BILANS'!D15-'RZIS &amp; CASHFLOW &amp; BILANS'!D16-'RZIS &amp; CASHFLOW &amp; BILANS'!D24)/'RZIS &amp; CASHFLOW &amp; BILANS'!D48</f>
        <v>2.0260659133003638</v>
      </c>
      <c r="G9" s="39">
        <f>('RZIS &amp; CASHFLOW &amp; BILANS'!E15-'RZIS &amp; CASHFLOW &amp; BILANS'!E16-'RZIS &amp; CASHFLOW &amp; BILANS'!E24)/'RZIS &amp; CASHFLOW &amp; BILANS'!E48</f>
        <v>2.1838811151426523</v>
      </c>
      <c r="H9" s="39">
        <f>('RZIS &amp; CASHFLOW &amp; BILANS'!F15-'RZIS &amp; CASHFLOW &amp; BILANS'!F16-'RZIS &amp; CASHFLOW &amp; BILANS'!F24)/'RZIS &amp; CASHFLOW &amp; BILANS'!F48</f>
        <v>1.6061387714205535</v>
      </c>
      <c r="J9" s="51" t="s">
        <v>204</v>
      </c>
    </row>
    <row r="10" spans="1:10" ht="64.5" customHeight="1">
      <c r="A10" s="80"/>
      <c r="B10" s="81"/>
      <c r="C10" s="46" t="s">
        <v>205</v>
      </c>
      <c r="D10" s="47" t="s">
        <v>206</v>
      </c>
      <c r="E10" s="48">
        <v>1</v>
      </c>
      <c r="F10" s="39">
        <f>('RZIS &amp; CASHFLOW &amp; BILANS'!D22+'RZIS &amp; CASHFLOW &amp; BILANS'!D23)/'RZIS &amp; CASHFLOW &amp; BILANS'!D48</f>
        <v>0.85448181955275715</v>
      </c>
      <c r="G10" s="39">
        <f>('RZIS &amp; CASHFLOW &amp; BILANS'!E22+'RZIS &amp; CASHFLOW &amp; BILANS'!E23)/'RZIS &amp; CASHFLOW &amp; BILANS'!E48</f>
        <v>1.3453970731715659</v>
      </c>
      <c r="H10" s="39">
        <f>('RZIS &amp; CASHFLOW &amp; BILANS'!F22+'RZIS &amp; CASHFLOW &amp; BILANS'!F23)/'RZIS &amp; CASHFLOW &amp; BILANS'!F48</f>
        <v>0.46828576690252249</v>
      </c>
      <c r="J10" s="51" t="s">
        <v>207</v>
      </c>
    </row>
    <row r="11" spans="1:10" ht="60.75" customHeight="1">
      <c r="A11" s="76" t="s">
        <v>208</v>
      </c>
      <c r="B11" s="77"/>
      <c r="C11" s="46" t="s">
        <v>209</v>
      </c>
      <c r="D11" s="47" t="s">
        <v>210</v>
      </c>
      <c r="E11" s="48">
        <v>44.64</v>
      </c>
      <c r="F11" s="39"/>
      <c r="G11" s="39">
        <f>('RZIS &amp; CASHFLOW &amp; BILANS'!D17+'RZIS &amp; CASHFLOW &amp; BILANS'!E17)*365/(2*'RZIS &amp; CASHFLOW &amp; BILANS'!E63)</f>
        <v>61.338690374168387</v>
      </c>
      <c r="H11" s="39">
        <f>('RZIS &amp; CASHFLOW &amp; BILANS'!E17+'RZIS &amp; CASHFLOW &amp; BILANS'!F17)*365/(2*'RZIS &amp; CASHFLOW &amp; BILANS'!F63)</f>
        <v>69.787376225306033</v>
      </c>
      <c r="J11" s="51" t="s">
        <v>211</v>
      </c>
    </row>
    <row r="12" spans="1:10" ht="60.75" customHeight="1">
      <c r="A12" s="78"/>
      <c r="B12" s="79"/>
      <c r="C12" s="46" t="s">
        <v>212</v>
      </c>
      <c r="D12" s="47" t="s">
        <v>213</v>
      </c>
      <c r="E12" s="48">
        <v>19.010000000000002</v>
      </c>
      <c r="F12" s="39"/>
      <c r="G12" s="39">
        <f>('RZIS &amp; CASHFLOW &amp; BILANS'!D51+'RZIS &amp; CASHFLOW &amp; BILANS'!E51)*365/(2*'RZIS &amp; CASHFLOW &amp; BILANS'!E63)</f>
        <v>40.43072791280791</v>
      </c>
      <c r="H12" s="39">
        <f>('RZIS &amp; CASHFLOW &amp; BILANS'!E51+'RZIS &amp; CASHFLOW &amp; BILANS'!F51)*365/(2*'RZIS &amp; CASHFLOW &amp; BILANS'!F63)</f>
        <v>46.774080906851069</v>
      </c>
      <c r="J12" s="51" t="s">
        <v>214</v>
      </c>
    </row>
    <row r="13" spans="1:10" ht="29.25" customHeight="1">
      <c r="A13" s="80"/>
      <c r="B13" s="81"/>
      <c r="C13" s="46" t="s">
        <v>215</v>
      </c>
      <c r="D13" s="47" t="s">
        <v>216</v>
      </c>
      <c r="E13" s="48">
        <v>7.37</v>
      </c>
      <c r="F13" s="39"/>
      <c r="G13" s="39">
        <f>('RZIS &amp; CASHFLOW &amp; BILANS'!D16+'RZIS &amp; CASHFLOW &amp; BILANS'!E16)*365/(2*'RZIS &amp; CASHFLOW &amp; BILANS'!E63)</f>
        <v>8.9358423603332735</v>
      </c>
      <c r="H13" s="39">
        <f>('RZIS &amp; CASHFLOW &amp; BILANS'!E16+'RZIS &amp; CASHFLOW &amp; BILANS'!F16)*365/(2*'RZIS &amp; CASHFLOW &amp; BILANS'!F63)</f>
        <v>7.9381270729021871</v>
      </c>
      <c r="J13" s="51" t="s">
        <v>217</v>
      </c>
    </row>
    <row r="14" spans="1:10" ht="60.75" customHeight="1">
      <c r="A14" s="76" t="s">
        <v>218</v>
      </c>
      <c r="B14" s="77"/>
      <c r="C14" s="46" t="s">
        <v>219</v>
      </c>
      <c r="D14" s="47" t="s">
        <v>220</v>
      </c>
      <c r="E14" s="48">
        <v>3.2</v>
      </c>
      <c r="F14" s="39">
        <f>('RZIS &amp; CASHFLOW &amp; BILANS'!D32+'RZIS &amp; CASHFLOW &amp; BILANS'!D40)/'RZIS &amp; CASHFLOW &amp; BILANS'!D5</f>
        <v>1.7196939671395333</v>
      </c>
      <c r="G14" s="39">
        <f>('RZIS &amp; CASHFLOW &amp; BILANS'!E32+'RZIS &amp; CASHFLOW &amp; BILANS'!E40)/'RZIS &amp; CASHFLOW &amp; BILANS'!E5</f>
        <v>1.7654685705421396</v>
      </c>
      <c r="H14" s="39">
        <f>('RZIS &amp; CASHFLOW &amp; BILANS'!F32+'RZIS &amp; CASHFLOW &amp; BILANS'!F40)/'RZIS &amp; CASHFLOW &amp; BILANS'!F5</f>
        <v>-8.9690944245182147E-2</v>
      </c>
      <c r="J14" s="51" t="s">
        <v>221</v>
      </c>
    </row>
    <row r="15" spans="1:10" ht="45" customHeight="1">
      <c r="A15" s="78"/>
      <c r="B15" s="79"/>
      <c r="C15" s="46" t="s">
        <v>222</v>
      </c>
      <c r="D15" s="47" t="s">
        <v>223</v>
      </c>
      <c r="E15" s="48">
        <v>0.73</v>
      </c>
      <c r="F15" s="39">
        <f>('RZIS &amp; CASHFLOW &amp; BILANS'!D32+'RZIS &amp; CASHFLOW &amp; BILANS'!D40)/'RZIS &amp; CASHFLOW &amp; BILANS'!D26</f>
        <v>0.74379133665315056</v>
      </c>
      <c r="G15" s="39">
        <f>('RZIS &amp; CASHFLOW &amp; BILANS'!E32+'RZIS &amp; CASHFLOW &amp; BILANS'!E40)/'RZIS &amp; CASHFLOW &amp; BILANS'!E26</f>
        <v>0.7501295372463973</v>
      </c>
      <c r="H15" s="39">
        <f>('RZIS &amp; CASHFLOW &amp; BILANS'!F32+'RZIS &amp; CASHFLOW &amp; BILANS'!F40)/'RZIS &amp; CASHFLOW &amp; BILANS'!F26</f>
        <v>0.69305917451240995</v>
      </c>
      <c r="J15" s="51" t="s">
        <v>224</v>
      </c>
    </row>
    <row r="16" spans="1:10" ht="30.75">
      <c r="A16" s="80"/>
      <c r="B16" s="81"/>
      <c r="C16" s="46" t="s">
        <v>225</v>
      </c>
      <c r="D16" s="47" t="s">
        <v>226</v>
      </c>
      <c r="E16" s="48">
        <v>29.78</v>
      </c>
      <c r="F16" s="39">
        <f>('RZIS &amp; CASHFLOW &amp; BILANS'!D40+'RZIS &amp; CASHFLOW &amp; BILANS'!D48)*100/'RZIS &amp; CASHFLOW &amp; BILANS'!D26</f>
        <v>33.882912030847294</v>
      </c>
      <c r="G16" s="39">
        <f>('RZIS &amp; CASHFLOW &amp; BILANS'!E40+'RZIS &amp; CASHFLOW &amp; BILANS'!E48)*100/'RZIS &amp; CASHFLOW &amp; BILANS'!E26</f>
        <v>32.962878143904284</v>
      </c>
      <c r="H16" s="39">
        <f>('RZIS &amp; CASHFLOW &amp; BILANS'!F40+'RZIS &amp; CASHFLOW &amp; BILANS'!F48)*100/'RZIS &amp; CASHFLOW &amp; BILANS'!F26</f>
        <v>40.990393554608346</v>
      </c>
      <c r="J16" s="51" t="s">
        <v>227</v>
      </c>
    </row>
  </sheetData>
  <mergeCells count="12">
    <mergeCell ref="J1:J2"/>
    <mergeCell ref="A14:B16"/>
    <mergeCell ref="E1:E2"/>
    <mergeCell ref="A1:B2"/>
    <mergeCell ref="A3:B7"/>
    <mergeCell ref="A8:B10"/>
    <mergeCell ref="C1:C2"/>
    <mergeCell ref="F1:F2"/>
    <mergeCell ref="G1:G2"/>
    <mergeCell ref="H1:H2"/>
    <mergeCell ref="D1:D2"/>
    <mergeCell ref="A11:B1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3B4C9-20D7-49B4-83CD-4936DA3895B4}">
  <dimension ref="A1"/>
  <sheetViews>
    <sheetView workbookViewId="0">
      <selection activeCell="H24" sqref="H24"/>
    </sheetView>
  </sheetViews>
  <sheetFormatPr defaultColWidth="8.85546875" defaultRowHeight="1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12CF2-562C-4C9B-AC1C-566D31360520}">
  <dimension ref="A1:D7"/>
  <sheetViews>
    <sheetView workbookViewId="0">
      <selection activeCell="D5" sqref="D5"/>
    </sheetView>
  </sheetViews>
  <sheetFormatPr defaultRowHeight="15"/>
  <cols>
    <col min="1" max="1" width="18.42578125" customWidth="1"/>
    <col min="2" max="2" width="18.5703125" customWidth="1"/>
    <col min="3" max="3" width="18.28515625" customWidth="1"/>
    <col min="4" max="4" width="27.7109375" customWidth="1"/>
  </cols>
  <sheetData>
    <row r="1" spans="1:4">
      <c r="A1" s="52" t="s">
        <v>228</v>
      </c>
      <c r="B1" s="52" t="s">
        <v>229</v>
      </c>
      <c r="C1" s="52" t="s">
        <v>230</v>
      </c>
      <c r="D1" s="52" t="s">
        <v>231</v>
      </c>
    </row>
    <row r="2" spans="1:4" ht="30">
      <c r="A2" s="53" t="s">
        <v>232</v>
      </c>
      <c r="B2" s="53" t="s">
        <v>233</v>
      </c>
      <c r="C2" s="53">
        <v>5</v>
      </c>
      <c r="D2" s="53" t="s">
        <v>234</v>
      </c>
    </row>
    <row r="3" spans="1:4" ht="75.75">
      <c r="A3" s="53" t="s">
        <v>235</v>
      </c>
      <c r="B3" s="53" t="s">
        <v>236</v>
      </c>
      <c r="C3" s="53">
        <v>4</v>
      </c>
      <c r="D3" s="53" t="s">
        <v>237</v>
      </c>
    </row>
    <row r="4" spans="1:4" ht="60.75">
      <c r="A4" s="53" t="s">
        <v>238</v>
      </c>
      <c r="B4" s="53" t="s">
        <v>239</v>
      </c>
      <c r="C4" s="53">
        <v>5</v>
      </c>
      <c r="D4" s="53" t="s">
        <v>240</v>
      </c>
    </row>
    <row r="5" spans="1:4" ht="45.75">
      <c r="A5" s="53" t="s">
        <v>241</v>
      </c>
      <c r="B5" s="53" t="s">
        <v>242</v>
      </c>
      <c r="C5" s="53">
        <v>4</v>
      </c>
      <c r="D5" s="53" t="s">
        <v>243</v>
      </c>
    </row>
    <row r="6" spans="1:4" ht="30">
      <c r="A6" s="53" t="s">
        <v>244</v>
      </c>
      <c r="B6" s="53" t="s">
        <v>245</v>
      </c>
      <c r="C6" s="53">
        <v>18</v>
      </c>
      <c r="D6" s="54" t="s">
        <v>246</v>
      </c>
    </row>
    <row r="7" spans="1:4">
      <c r="C7" s="23">
        <f>C6/20</f>
        <v>0.9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447D502-A50A-4899-BDFE-0166F0CCD63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2026-01-05T11:16:53Z</dcterms:created>
  <dcterms:modified xsi:type="dcterms:W3CDTF">2026-01-30T12:45:20Z</dcterms:modified>
  <cp:category/>
  <cp:contentStatus/>
</cp:coreProperties>
</file>